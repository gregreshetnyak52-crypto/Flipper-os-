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ы" sheetId="1" state="visible" r:id="rId1"/>
    <sheet name="Сводка" sheetId="2" state="visible" r:id="rId2"/>
  </sheets>
  <definedNames>
    <definedName name="_xlnm._FilterDatabase" localSheetId="0" hidden="1">'Заказы'!$A$3:$I$111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&quot; ₽&quot;"/>
  </numFmts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b val="1"/>
    </font>
    <font>
      <name val="Arial"/>
      <i val="1"/>
      <sz val="9"/>
    </font>
    <font>
      <name val="Arial"/>
      <color theme="1"/>
    </font>
    <font>
      <name val="Arial"/>
      <b val="1"/>
      <color theme="1"/>
    </font>
    <font>
      <name val="Arial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165" fontId="4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3" fontId="3" fillId="0" borderId="1" pivotButton="0" quotePrefix="0" xfId="0"/>
    <xf numFmtId="0" fontId="5" fillId="3" borderId="0" pivotButton="0" quotePrefix="0" xfId="0"/>
    <xf numFmtId="0" fontId="0" fillId="3" borderId="0" pivotButton="0" quotePrefix="0" xfId="0"/>
    <xf numFmtId="166" fontId="5" fillId="3" borderId="0" pivotButton="0" quotePrefix="0" xfId="0"/>
    <xf numFmtId="0" fontId="6" fillId="0" borderId="0" pivotButton="0" quotePrefix="0" xfId="0"/>
    <xf numFmtId="0" fontId="2" fillId="2" borderId="0" pivotButton="0" quotePrefix="0" xfId="0"/>
    <xf numFmtId="0" fontId="7" fillId="0" borderId="0" pivotButton="0" quotePrefix="0" xfId="0"/>
    <xf numFmtId="3" fontId="7" fillId="0" borderId="0" pivotButton="0" quotePrefix="0" xfId="0"/>
    <xf numFmtId="0" fontId="8" fillId="0" borderId="0" pivotButton="0" quotePrefix="0" xfId="0"/>
    <xf numFmtId="3" fontId="8" fillId="0" borderId="0" pivotButton="0" quotePrefix="0" xfId="0"/>
    <xf numFmtId="0" fontId="9" fillId="2" borderId="0" pivotButton="0" quotePrefix="0" xfId="0"/>
    <xf numFmtId="3" fontId="9" fillId="2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22" customWidth="1" min="4" max="4"/>
    <col width="24" customWidth="1" min="5" max="5"/>
    <col width="12" customWidth="1" min="6" max="6"/>
    <col width="8" customWidth="1" min="7" max="7"/>
    <col width="11" customWidth="1" min="8" max="8"/>
    <col width="13" customWidth="1" min="9" max="9"/>
  </cols>
  <sheetData>
    <row r="1">
      <c r="A1" s="1" t="inlineStr">
        <is>
          <t>Заказы: одежда и обувь, 01.08.2026 – 28.09.2026 (ТЕСТОВЫЕ ДАННЫЕ)</t>
        </is>
      </c>
    </row>
    <row r="3">
      <c r="A3" s="2" t="inlineStr">
        <is>
          <t>№ заказа</t>
        </is>
      </c>
      <c r="B3" s="2" t="inlineStr">
        <is>
          <t>Дата</t>
        </is>
      </c>
      <c r="C3" s="2" t="inlineStr">
        <is>
          <t>Месяц</t>
        </is>
      </c>
      <c r="D3" s="2" t="inlineStr">
        <is>
          <t>Клиент</t>
        </is>
      </c>
      <c r="E3" s="2" t="inlineStr">
        <is>
          <t>Товар</t>
        </is>
      </c>
      <c r="F3" s="2" t="inlineStr">
        <is>
          <t>Категория</t>
        </is>
      </c>
      <c r="G3" s="2" t="inlineStr">
        <is>
          <t>Кол-во</t>
        </is>
      </c>
      <c r="H3" s="2" t="inlineStr">
        <is>
          <t>Цена, ₽</t>
        </is>
      </c>
      <c r="I3" s="2" t="inlineStr">
        <is>
          <t>Сумма, ₽</t>
        </is>
      </c>
    </row>
    <row r="4">
      <c r="A4" s="3" t="inlineStr">
        <is>
          <t>ЗК-1001</t>
        </is>
      </c>
      <c r="B4" s="4" t="n">
        <v>46235</v>
      </c>
      <c r="C4" s="3">
        <f>TEXT(B4,"MM.YYYY")</f>
        <v/>
      </c>
      <c r="D4" s="5" t="inlineStr">
        <is>
          <t>Ольга Сидоров</t>
        </is>
      </c>
      <c r="E4" s="5" t="inlineStr">
        <is>
          <t>Сандалии</t>
        </is>
      </c>
      <c r="F4" s="5" t="inlineStr">
        <is>
          <t>Обувь</t>
        </is>
      </c>
      <c r="G4" s="5" t="n">
        <v>1</v>
      </c>
      <c r="H4" s="6" t="n">
        <v>2659</v>
      </c>
      <c r="I4" s="7">
        <f>G4*H4</f>
        <v/>
      </c>
    </row>
    <row r="5">
      <c r="A5" s="3" t="inlineStr">
        <is>
          <t>ЗК-1002</t>
        </is>
      </c>
      <c r="B5" s="4" t="n">
        <v>46235</v>
      </c>
      <c r="C5" s="3">
        <f>TEXT(B5,"MM.YYYY")</f>
        <v/>
      </c>
      <c r="D5" s="5" t="inlineStr">
        <is>
          <t>Анна Смирнов</t>
        </is>
      </c>
      <c r="E5" s="5" t="inlineStr">
        <is>
          <t>Платье летнее</t>
        </is>
      </c>
      <c r="F5" s="5" t="inlineStr">
        <is>
          <t>Одежда</t>
        </is>
      </c>
      <c r="G5" s="5" t="n">
        <v>1</v>
      </c>
      <c r="H5" s="6" t="n">
        <v>3799</v>
      </c>
      <c r="I5" s="7">
        <f>G5*H5</f>
        <v/>
      </c>
    </row>
    <row r="6">
      <c r="A6" s="3" t="inlineStr">
        <is>
          <t>ЗК-1003</t>
        </is>
      </c>
      <c r="B6" s="4" t="n">
        <v>46235</v>
      </c>
      <c r="C6" s="3">
        <f>TEXT(B6,"MM.YYYY")</f>
        <v/>
      </c>
      <c r="D6" s="5" t="inlineStr">
        <is>
          <t>Сергей Иванов</t>
        </is>
      </c>
      <c r="E6" s="5" t="inlineStr">
        <is>
          <t>Кеды</t>
        </is>
      </c>
      <c r="F6" s="5" t="inlineStr">
        <is>
          <t>Обувь</t>
        </is>
      </c>
      <c r="G6" s="5" t="n">
        <v>1</v>
      </c>
      <c r="H6" s="6" t="n">
        <v>3319</v>
      </c>
      <c r="I6" s="7">
        <f>G6*H6</f>
        <v/>
      </c>
    </row>
    <row r="7">
      <c r="A7" s="3" t="inlineStr">
        <is>
          <t>ЗК-1004</t>
        </is>
      </c>
      <c r="B7" s="4" t="n">
        <v>46235</v>
      </c>
      <c r="C7" s="3">
        <f>TEXT(B7,"MM.YYYY")</f>
        <v/>
      </c>
      <c r="D7" s="5" t="inlineStr">
        <is>
          <t>Сергей Кузнецова</t>
        </is>
      </c>
      <c r="E7" s="5" t="inlineStr">
        <is>
          <t>Кроссовки</t>
        </is>
      </c>
      <c r="F7" s="5" t="inlineStr">
        <is>
          <t>Обувь</t>
        </is>
      </c>
      <c r="G7" s="5" t="n">
        <v>1</v>
      </c>
      <c r="H7" s="6" t="n">
        <v>5209</v>
      </c>
      <c r="I7" s="7">
        <f>G7*H7</f>
        <v/>
      </c>
    </row>
    <row r="8">
      <c r="A8" s="3" t="inlineStr">
        <is>
          <t>ЗК-1005</t>
        </is>
      </c>
      <c r="B8" s="4" t="n">
        <v>46237</v>
      </c>
      <c r="C8" s="3">
        <f>TEXT(B8,"MM.YYYY")</f>
        <v/>
      </c>
      <c r="D8" s="5" t="inlineStr">
        <is>
          <t>Татьяна Кузнецова</t>
        </is>
      </c>
      <c r="E8" s="5" t="inlineStr">
        <is>
          <t>Футболка хлопковая</t>
        </is>
      </c>
      <c r="F8" s="5" t="inlineStr">
        <is>
          <t>Одежда</t>
        </is>
      </c>
      <c r="G8" s="5" t="n">
        <v>1</v>
      </c>
      <c r="H8" s="6" t="n">
        <v>1259</v>
      </c>
      <c r="I8" s="7">
        <f>G8*H8</f>
        <v/>
      </c>
    </row>
    <row r="9">
      <c r="A9" s="3" t="inlineStr">
        <is>
          <t>ЗК-1006</t>
        </is>
      </c>
      <c r="B9" s="4" t="n">
        <v>46237</v>
      </c>
      <c r="C9" s="3">
        <f>TEXT(B9,"MM.YYYY")</f>
        <v/>
      </c>
      <c r="D9" s="5" t="inlineStr">
        <is>
          <t>Татьяна Петрова</t>
        </is>
      </c>
      <c r="E9" s="5" t="inlineStr">
        <is>
          <t>Куртка демисезонная</t>
        </is>
      </c>
      <c r="F9" s="5" t="inlineStr">
        <is>
          <t>Одежда</t>
        </is>
      </c>
      <c r="G9" s="5" t="n">
        <v>1</v>
      </c>
      <c r="H9" s="6" t="n">
        <v>11639</v>
      </c>
      <c r="I9" s="7">
        <f>G9*H9</f>
        <v/>
      </c>
    </row>
    <row r="10">
      <c r="A10" s="3" t="inlineStr">
        <is>
          <t>ЗК-1007</t>
        </is>
      </c>
      <c r="B10" s="4" t="n">
        <v>46238</v>
      </c>
      <c r="C10" s="3">
        <f>TEXT(B10,"MM.YYYY")</f>
        <v/>
      </c>
      <c r="D10" s="5" t="inlineStr">
        <is>
          <t>Сергей Новиков</t>
        </is>
      </c>
      <c r="E10" s="5" t="inlineStr">
        <is>
          <t>Кроссовки</t>
        </is>
      </c>
      <c r="F10" s="5" t="inlineStr">
        <is>
          <t>Обувь</t>
        </is>
      </c>
      <c r="G10" s="5" t="n">
        <v>1</v>
      </c>
      <c r="H10" s="6" t="n">
        <v>6129</v>
      </c>
      <c r="I10" s="7">
        <f>G10*H10</f>
        <v/>
      </c>
    </row>
    <row r="11">
      <c r="A11" s="3" t="inlineStr">
        <is>
          <t>ЗК-1008</t>
        </is>
      </c>
      <c r="B11" s="4" t="n">
        <v>46239</v>
      </c>
      <c r="C11" s="3">
        <f>TEXT(B11,"MM.YYYY")</f>
        <v/>
      </c>
      <c r="D11" s="5" t="inlineStr">
        <is>
          <t>Ольга Фёдорова</t>
        </is>
      </c>
      <c r="E11" s="5" t="inlineStr">
        <is>
          <t>Кеды</t>
        </is>
      </c>
      <c r="F11" s="5" t="inlineStr">
        <is>
          <t>Обувь</t>
        </is>
      </c>
      <c r="G11" s="5" t="n">
        <v>1</v>
      </c>
      <c r="H11" s="6" t="n">
        <v>5129</v>
      </c>
      <c r="I11" s="7">
        <f>G11*H11</f>
        <v/>
      </c>
    </row>
    <row r="12">
      <c r="A12" s="3" t="inlineStr">
        <is>
          <t>ЗК-1009</t>
        </is>
      </c>
      <c r="B12" s="4" t="n">
        <v>46239</v>
      </c>
      <c r="C12" s="3">
        <f>TEXT(B12,"MM.YYYY")</f>
        <v/>
      </c>
      <c r="D12" s="5" t="inlineStr">
        <is>
          <t>Николай Сидоров</t>
        </is>
      </c>
      <c r="E12" s="5" t="inlineStr">
        <is>
          <t>Свитер шерстяной</t>
        </is>
      </c>
      <c r="F12" s="5" t="inlineStr">
        <is>
          <t>Одежда</t>
        </is>
      </c>
      <c r="G12" s="5" t="n">
        <v>1</v>
      </c>
      <c r="H12" s="6" t="n">
        <v>6309</v>
      </c>
      <c r="I12" s="7">
        <f>G12*H12</f>
        <v/>
      </c>
    </row>
    <row r="13">
      <c r="A13" s="3" t="inlineStr">
        <is>
          <t>ЗК-1010</t>
        </is>
      </c>
      <c r="B13" s="4" t="n">
        <v>46239</v>
      </c>
      <c r="C13" s="3">
        <f>TEXT(B13,"MM.YYYY")</f>
        <v/>
      </c>
      <c r="D13" s="5" t="inlineStr">
        <is>
          <t>Дмитрий Сидоров</t>
        </is>
      </c>
      <c r="E13" s="5" t="inlineStr">
        <is>
          <t>Футболка хлопковая</t>
        </is>
      </c>
      <c r="F13" s="5" t="inlineStr">
        <is>
          <t>Одежда</t>
        </is>
      </c>
      <c r="G13" s="5" t="n">
        <v>2</v>
      </c>
      <c r="H13" s="6" t="n">
        <v>2749</v>
      </c>
      <c r="I13" s="7">
        <f>G13*H13</f>
        <v/>
      </c>
    </row>
    <row r="14">
      <c r="A14" s="3" t="inlineStr">
        <is>
          <t>ЗК-1011</t>
        </is>
      </c>
      <c r="B14" s="4" t="n">
        <v>46239</v>
      </c>
      <c r="C14" s="3">
        <f>TEXT(B14,"MM.YYYY")</f>
        <v/>
      </c>
      <c r="D14" s="5" t="inlineStr">
        <is>
          <t>Мария Васильев</t>
        </is>
      </c>
      <c r="E14" s="5" t="inlineStr">
        <is>
          <t>Кеды</t>
        </is>
      </c>
      <c r="F14" s="5" t="inlineStr">
        <is>
          <t>Обувь</t>
        </is>
      </c>
      <c r="G14" s="5" t="n">
        <v>1</v>
      </c>
      <c r="H14" s="6" t="n">
        <v>4629</v>
      </c>
      <c r="I14" s="7">
        <f>G14*H14</f>
        <v/>
      </c>
    </row>
    <row r="15">
      <c r="A15" s="3" t="inlineStr">
        <is>
          <t>ЗК-1012</t>
        </is>
      </c>
      <c r="B15" s="4" t="n">
        <v>46240</v>
      </c>
      <c r="C15" s="3">
        <f>TEXT(B15,"MM.YYYY")</f>
        <v/>
      </c>
      <c r="D15" s="5" t="inlineStr">
        <is>
          <t>Анна Сидоров</t>
        </is>
      </c>
      <c r="E15" s="5" t="inlineStr">
        <is>
          <t>Худи оверсайз</t>
        </is>
      </c>
      <c r="F15" s="5" t="inlineStr">
        <is>
          <t>Одежда</t>
        </is>
      </c>
      <c r="G15" s="5" t="n">
        <v>3</v>
      </c>
      <c r="H15" s="6" t="n">
        <v>4079</v>
      </c>
      <c r="I15" s="7">
        <f>G15*H15</f>
        <v/>
      </c>
    </row>
    <row r="16">
      <c r="A16" s="3" t="inlineStr">
        <is>
          <t>ЗК-1013</t>
        </is>
      </c>
      <c r="B16" s="4" t="n">
        <v>46241</v>
      </c>
      <c r="C16" s="3">
        <f>TEXT(B16,"MM.YYYY")</f>
        <v/>
      </c>
      <c r="D16" s="5" t="inlineStr">
        <is>
          <t>Николай Попова</t>
        </is>
      </c>
      <c r="E16" s="5" t="inlineStr">
        <is>
          <t>Рубашка льняная</t>
        </is>
      </c>
      <c r="F16" s="5" t="inlineStr">
        <is>
          <t>Одежда</t>
        </is>
      </c>
      <c r="G16" s="5" t="n">
        <v>1</v>
      </c>
      <c r="H16" s="6" t="n">
        <v>2919</v>
      </c>
      <c r="I16" s="7">
        <f>G16*H16</f>
        <v/>
      </c>
    </row>
    <row r="17">
      <c r="A17" s="3" t="inlineStr">
        <is>
          <t>ЗК-1014</t>
        </is>
      </c>
      <c r="B17" s="4" t="n">
        <v>46241</v>
      </c>
      <c r="C17" s="3">
        <f>TEXT(B17,"MM.YYYY")</f>
        <v/>
      </c>
      <c r="D17" s="5" t="inlineStr">
        <is>
          <t>Ольга Волков</t>
        </is>
      </c>
      <c r="E17" s="5" t="inlineStr">
        <is>
          <t>Джинсы прямые</t>
        </is>
      </c>
      <c r="F17" s="5" t="inlineStr">
        <is>
          <t>Одежда</t>
        </is>
      </c>
      <c r="G17" s="5" t="n">
        <v>2</v>
      </c>
      <c r="H17" s="6" t="n">
        <v>4969</v>
      </c>
      <c r="I17" s="7">
        <f>G17*H17</f>
        <v/>
      </c>
    </row>
    <row r="18">
      <c r="A18" s="3" t="inlineStr">
        <is>
          <t>ЗК-1015</t>
        </is>
      </c>
      <c r="B18" s="4" t="n">
        <v>46241</v>
      </c>
      <c r="C18" s="3">
        <f>TEXT(B18,"MM.YYYY")</f>
        <v/>
      </c>
      <c r="D18" s="5" t="inlineStr">
        <is>
          <t>Николай Кузнецова</t>
        </is>
      </c>
      <c r="E18" s="5" t="inlineStr">
        <is>
          <t>Ботинки кожаные</t>
        </is>
      </c>
      <c r="F18" s="5" t="inlineStr">
        <is>
          <t>Обувь</t>
        </is>
      </c>
      <c r="G18" s="5" t="n">
        <v>2</v>
      </c>
      <c r="H18" s="6" t="n">
        <v>8669</v>
      </c>
      <c r="I18" s="7">
        <f>G18*H18</f>
        <v/>
      </c>
    </row>
    <row r="19">
      <c r="A19" s="3" t="inlineStr">
        <is>
          <t>ЗК-1016</t>
        </is>
      </c>
      <c r="B19" s="4" t="n">
        <v>46242</v>
      </c>
      <c r="C19" s="3">
        <f>TEXT(B19,"MM.YYYY")</f>
        <v/>
      </c>
      <c r="D19" s="5" t="inlineStr">
        <is>
          <t>Елена Сидоров</t>
        </is>
      </c>
      <c r="E19" s="5" t="inlineStr">
        <is>
          <t>Кеды</t>
        </is>
      </c>
      <c r="F19" s="5" t="inlineStr">
        <is>
          <t>Обувь</t>
        </is>
      </c>
      <c r="G19" s="5" t="n">
        <v>1</v>
      </c>
      <c r="H19" s="6" t="n">
        <v>4779</v>
      </c>
      <c r="I19" s="7">
        <f>G19*H19</f>
        <v/>
      </c>
    </row>
    <row r="20">
      <c r="A20" s="3" t="inlineStr">
        <is>
          <t>ЗК-1017</t>
        </is>
      </c>
      <c r="B20" s="4" t="n">
        <v>46242</v>
      </c>
      <c r="C20" s="3">
        <f>TEXT(B20,"MM.YYYY")</f>
        <v/>
      </c>
      <c r="D20" s="5" t="inlineStr">
        <is>
          <t>Николай Петрова</t>
        </is>
      </c>
      <c r="E20" s="5" t="inlineStr">
        <is>
          <t>Шорты</t>
        </is>
      </c>
      <c r="F20" s="5" t="inlineStr">
        <is>
          <t>Одежда</t>
        </is>
      </c>
      <c r="G20" s="5" t="n">
        <v>1</v>
      </c>
      <c r="H20" s="6" t="n">
        <v>1659</v>
      </c>
      <c r="I20" s="7">
        <f>G20*H20</f>
        <v/>
      </c>
    </row>
    <row r="21">
      <c r="A21" s="3" t="inlineStr">
        <is>
          <t>ЗК-1018</t>
        </is>
      </c>
      <c r="B21" s="4" t="n">
        <v>46243</v>
      </c>
      <c r="C21" s="3">
        <f>TEXT(B21,"MM.YYYY")</f>
        <v/>
      </c>
      <c r="D21" s="5" t="inlineStr">
        <is>
          <t>Ольга Иванов</t>
        </is>
      </c>
      <c r="E21" s="5" t="inlineStr">
        <is>
          <t>Сандалии</t>
        </is>
      </c>
      <c r="F21" s="5" t="inlineStr">
        <is>
          <t>Обувь</t>
        </is>
      </c>
      <c r="G21" s="5" t="n">
        <v>2</v>
      </c>
      <c r="H21" s="6" t="n">
        <v>4729</v>
      </c>
      <c r="I21" s="7">
        <f>G21*H21</f>
        <v/>
      </c>
    </row>
    <row r="22">
      <c r="A22" s="3" t="inlineStr">
        <is>
          <t>ЗК-1019</t>
        </is>
      </c>
      <c r="B22" s="4" t="n">
        <v>46243</v>
      </c>
      <c r="C22" s="3">
        <f>TEXT(B22,"MM.YYYY")</f>
        <v/>
      </c>
      <c r="D22" s="5" t="inlineStr">
        <is>
          <t>Алексей Кузнецова</t>
        </is>
      </c>
      <c r="E22" s="5" t="inlineStr">
        <is>
          <t>Рубашка льняная</t>
        </is>
      </c>
      <c r="F22" s="5" t="inlineStr">
        <is>
          <t>Одежда</t>
        </is>
      </c>
      <c r="G22" s="5" t="n">
        <v>1</v>
      </c>
      <c r="H22" s="6" t="n">
        <v>3289</v>
      </c>
      <c r="I22" s="7">
        <f>G22*H22</f>
        <v/>
      </c>
    </row>
    <row r="23">
      <c r="A23" s="3" t="inlineStr">
        <is>
          <t>ЗК-1020</t>
        </is>
      </c>
      <c r="B23" s="4" t="n">
        <v>46243</v>
      </c>
      <c r="C23" s="3">
        <f>TEXT(B23,"MM.YYYY")</f>
        <v/>
      </c>
      <c r="D23" s="5" t="inlineStr">
        <is>
          <t>Дмитрий Морозова</t>
        </is>
      </c>
      <c r="E23" s="5" t="inlineStr">
        <is>
          <t>Футболка хлопковая</t>
        </is>
      </c>
      <c r="F23" s="5" t="inlineStr">
        <is>
          <t>Одежда</t>
        </is>
      </c>
      <c r="G23" s="5" t="n">
        <v>1</v>
      </c>
      <c r="H23" s="6" t="n">
        <v>2549</v>
      </c>
      <c r="I23" s="7">
        <f>G23*H23</f>
        <v/>
      </c>
    </row>
    <row r="24">
      <c r="A24" s="3" t="inlineStr">
        <is>
          <t>ЗК-1021</t>
        </is>
      </c>
      <c r="B24" s="4" t="n">
        <v>46243</v>
      </c>
      <c r="C24" s="3">
        <f>TEXT(B24,"MM.YYYY")</f>
        <v/>
      </c>
      <c r="D24" s="5" t="inlineStr">
        <is>
          <t>Сергей Смирнов</t>
        </is>
      </c>
      <c r="E24" s="5" t="inlineStr">
        <is>
          <t>Платье летнее</t>
        </is>
      </c>
      <c r="F24" s="5" t="inlineStr">
        <is>
          <t>Одежда</t>
        </is>
      </c>
      <c r="G24" s="5" t="n">
        <v>2</v>
      </c>
      <c r="H24" s="6" t="n">
        <v>3129</v>
      </c>
      <c r="I24" s="7">
        <f>G24*H24</f>
        <v/>
      </c>
    </row>
    <row r="25">
      <c r="A25" s="3" t="inlineStr">
        <is>
          <t>ЗК-1022</t>
        </is>
      </c>
      <c r="B25" s="4" t="n">
        <v>46244</v>
      </c>
      <c r="C25" s="3">
        <f>TEXT(B25,"MM.YYYY")</f>
        <v/>
      </c>
      <c r="D25" s="5" t="inlineStr">
        <is>
          <t>Дмитрий Кузнецова</t>
        </is>
      </c>
      <c r="E25" s="5" t="inlineStr">
        <is>
          <t>Джинсы прямые</t>
        </is>
      </c>
      <c r="F25" s="5" t="inlineStr">
        <is>
          <t>Одежда</t>
        </is>
      </c>
      <c r="G25" s="5" t="n">
        <v>1</v>
      </c>
      <c r="H25" s="6" t="n">
        <v>5059</v>
      </c>
      <c r="I25" s="7">
        <f>G25*H25</f>
        <v/>
      </c>
    </row>
    <row r="26">
      <c r="A26" s="3" t="inlineStr">
        <is>
          <t>ЗК-1023</t>
        </is>
      </c>
      <c r="B26" s="4" t="n">
        <v>46244</v>
      </c>
      <c r="C26" s="3">
        <f>TEXT(B26,"MM.YYYY")</f>
        <v/>
      </c>
      <c r="D26" s="5" t="inlineStr">
        <is>
          <t>Анна Волков</t>
        </is>
      </c>
      <c r="E26" s="5" t="inlineStr">
        <is>
          <t>Сандалии</t>
        </is>
      </c>
      <c r="F26" s="5" t="inlineStr">
        <is>
          <t>Обувь</t>
        </is>
      </c>
      <c r="G26" s="5" t="n">
        <v>1</v>
      </c>
      <c r="H26" s="6" t="n">
        <v>3689</v>
      </c>
      <c r="I26" s="7">
        <f>G26*H26</f>
        <v/>
      </c>
    </row>
    <row r="27">
      <c r="A27" s="3" t="inlineStr">
        <is>
          <t>ЗК-1024</t>
        </is>
      </c>
      <c r="B27" s="4" t="n">
        <v>46244</v>
      </c>
      <c r="C27" s="3">
        <f>TEXT(B27,"MM.YYYY")</f>
        <v/>
      </c>
      <c r="D27" s="5" t="inlineStr">
        <is>
          <t>Дмитрий Васильев</t>
        </is>
      </c>
      <c r="E27" s="5" t="inlineStr">
        <is>
          <t>Рубашка льняная</t>
        </is>
      </c>
      <c r="F27" s="5" t="inlineStr">
        <is>
          <t>Одежда</t>
        </is>
      </c>
      <c r="G27" s="5" t="n">
        <v>1</v>
      </c>
      <c r="H27" s="6" t="n">
        <v>3359</v>
      </c>
      <c r="I27" s="7">
        <f>G27*H27</f>
        <v/>
      </c>
    </row>
    <row r="28">
      <c r="A28" s="3" t="inlineStr">
        <is>
          <t>ЗК-1025</t>
        </is>
      </c>
      <c r="B28" s="4" t="n">
        <v>46245</v>
      </c>
      <c r="C28" s="3">
        <f>TEXT(B28,"MM.YYYY")</f>
        <v/>
      </c>
      <c r="D28" s="5" t="inlineStr">
        <is>
          <t>Сергей Смирнов</t>
        </is>
      </c>
      <c r="E28" s="5" t="inlineStr">
        <is>
          <t>Кеды</t>
        </is>
      </c>
      <c r="F28" s="5" t="inlineStr">
        <is>
          <t>Обувь</t>
        </is>
      </c>
      <c r="G28" s="5" t="n">
        <v>1</v>
      </c>
      <c r="H28" s="6" t="n">
        <v>5699</v>
      </c>
      <c r="I28" s="7">
        <f>G28*H28</f>
        <v/>
      </c>
    </row>
    <row r="29">
      <c r="A29" s="3" t="inlineStr">
        <is>
          <t>ЗК-1026</t>
        </is>
      </c>
      <c r="B29" s="4" t="n">
        <v>46245</v>
      </c>
      <c r="C29" s="3">
        <f>TEXT(B29,"MM.YYYY")</f>
        <v/>
      </c>
      <c r="D29" s="5" t="inlineStr">
        <is>
          <t>Иван Смирнов</t>
        </is>
      </c>
      <c r="E29" s="5" t="inlineStr">
        <is>
          <t>Ботинки кожаные</t>
        </is>
      </c>
      <c r="F29" s="5" t="inlineStr">
        <is>
          <t>Обувь</t>
        </is>
      </c>
      <c r="G29" s="5" t="n">
        <v>1</v>
      </c>
      <c r="H29" s="6" t="n">
        <v>11699</v>
      </c>
      <c r="I29" s="7">
        <f>G29*H29</f>
        <v/>
      </c>
    </row>
    <row r="30">
      <c r="A30" s="3" t="inlineStr">
        <is>
          <t>ЗК-1027</t>
        </is>
      </c>
      <c r="B30" s="4" t="n">
        <v>46248</v>
      </c>
      <c r="C30" s="3">
        <f>TEXT(B30,"MM.YYYY")</f>
        <v/>
      </c>
      <c r="D30" s="5" t="inlineStr">
        <is>
          <t>Сергей Волков</t>
        </is>
      </c>
      <c r="E30" s="5" t="inlineStr">
        <is>
          <t>Кеды</t>
        </is>
      </c>
      <c r="F30" s="5" t="inlineStr">
        <is>
          <t>Обувь</t>
        </is>
      </c>
      <c r="G30" s="5" t="n">
        <v>1</v>
      </c>
      <c r="H30" s="6" t="n">
        <v>3899</v>
      </c>
      <c r="I30" s="7">
        <f>G30*H30</f>
        <v/>
      </c>
    </row>
    <row r="31">
      <c r="A31" s="3" t="inlineStr">
        <is>
          <t>ЗК-1028</t>
        </is>
      </c>
      <c r="B31" s="4" t="n">
        <v>46248</v>
      </c>
      <c r="C31" s="3">
        <f>TEXT(B31,"MM.YYYY")</f>
        <v/>
      </c>
      <c r="D31" s="5" t="inlineStr">
        <is>
          <t>Наталья Васильев</t>
        </is>
      </c>
      <c r="E31" s="5" t="inlineStr">
        <is>
          <t>Шорты</t>
        </is>
      </c>
      <c r="F31" s="5" t="inlineStr">
        <is>
          <t>Одежда</t>
        </is>
      </c>
      <c r="G31" s="5" t="n">
        <v>3</v>
      </c>
      <c r="H31" s="6" t="n">
        <v>2049</v>
      </c>
      <c r="I31" s="7">
        <f>G31*H31</f>
        <v/>
      </c>
    </row>
    <row r="32">
      <c r="A32" s="3" t="inlineStr">
        <is>
          <t>ЗК-1029</t>
        </is>
      </c>
      <c r="B32" s="4" t="n">
        <v>46248</v>
      </c>
      <c r="C32" s="3">
        <f>TEXT(B32,"MM.YYYY")</f>
        <v/>
      </c>
      <c r="D32" s="5" t="inlineStr">
        <is>
          <t>Татьяна Новиков</t>
        </is>
      </c>
      <c r="E32" s="5" t="inlineStr">
        <is>
          <t>Сандалии</t>
        </is>
      </c>
      <c r="F32" s="5" t="inlineStr">
        <is>
          <t>Обувь</t>
        </is>
      </c>
      <c r="G32" s="5" t="n">
        <v>1</v>
      </c>
      <c r="H32" s="6" t="n">
        <v>4479</v>
      </c>
      <c r="I32" s="7">
        <f>G32*H32</f>
        <v/>
      </c>
    </row>
    <row r="33">
      <c r="A33" s="3" t="inlineStr">
        <is>
          <t>ЗК-1030</t>
        </is>
      </c>
      <c r="B33" s="4" t="n">
        <v>46250</v>
      </c>
      <c r="C33" s="3">
        <f>TEXT(B33,"MM.YYYY")</f>
        <v/>
      </c>
      <c r="D33" s="5" t="inlineStr">
        <is>
          <t>Сергей Иванов</t>
        </is>
      </c>
      <c r="E33" s="5" t="inlineStr">
        <is>
          <t>Рубашка льняная</t>
        </is>
      </c>
      <c r="F33" s="5" t="inlineStr">
        <is>
          <t>Одежда</t>
        </is>
      </c>
      <c r="G33" s="5" t="n">
        <v>1</v>
      </c>
      <c r="H33" s="6" t="n">
        <v>2729</v>
      </c>
      <c r="I33" s="7">
        <f>G33*H33</f>
        <v/>
      </c>
    </row>
    <row r="34">
      <c r="A34" s="3" t="inlineStr">
        <is>
          <t>ЗК-1031</t>
        </is>
      </c>
      <c r="B34" s="4" t="n">
        <v>46250</v>
      </c>
      <c r="C34" s="3">
        <f>TEXT(B34,"MM.YYYY")</f>
        <v/>
      </c>
      <c r="D34" s="5" t="inlineStr">
        <is>
          <t>Иван Смирнов</t>
        </is>
      </c>
      <c r="E34" s="5" t="inlineStr">
        <is>
          <t>Футболка хлопковая</t>
        </is>
      </c>
      <c r="F34" s="5" t="inlineStr">
        <is>
          <t>Одежда</t>
        </is>
      </c>
      <c r="G34" s="5" t="n">
        <v>1</v>
      </c>
      <c r="H34" s="6" t="n">
        <v>2849</v>
      </c>
      <c r="I34" s="7">
        <f>G34*H34</f>
        <v/>
      </c>
    </row>
    <row r="35">
      <c r="A35" s="3" t="inlineStr">
        <is>
          <t>ЗК-1032</t>
        </is>
      </c>
      <c r="B35" s="4" t="n">
        <v>46251</v>
      </c>
      <c r="C35" s="3">
        <f>TEXT(B35,"MM.YYYY")</f>
        <v/>
      </c>
      <c r="D35" s="5" t="inlineStr">
        <is>
          <t>Мария Фёдорова</t>
        </is>
      </c>
      <c r="E35" s="5" t="inlineStr">
        <is>
          <t>Платье летнее</t>
        </is>
      </c>
      <c r="F35" s="5" t="inlineStr">
        <is>
          <t>Одежда</t>
        </is>
      </c>
      <c r="G35" s="5" t="n">
        <v>1</v>
      </c>
      <c r="H35" s="6" t="n">
        <v>3069</v>
      </c>
      <c r="I35" s="7">
        <f>G35*H35</f>
        <v/>
      </c>
    </row>
    <row r="36">
      <c r="A36" s="3" t="inlineStr">
        <is>
          <t>ЗК-1033</t>
        </is>
      </c>
      <c r="B36" s="4" t="n">
        <v>46251</v>
      </c>
      <c r="C36" s="3">
        <f>TEXT(B36,"MM.YYYY")</f>
        <v/>
      </c>
      <c r="D36" s="5" t="inlineStr">
        <is>
          <t>Елена Иванов</t>
        </is>
      </c>
      <c r="E36" s="5" t="inlineStr">
        <is>
          <t>Ботинки кожаные</t>
        </is>
      </c>
      <c r="F36" s="5" t="inlineStr">
        <is>
          <t>Обувь</t>
        </is>
      </c>
      <c r="G36" s="5" t="n">
        <v>1</v>
      </c>
      <c r="H36" s="6" t="n">
        <v>12379</v>
      </c>
      <c r="I36" s="7">
        <f>G36*H36</f>
        <v/>
      </c>
    </row>
    <row r="37">
      <c r="A37" s="3" t="inlineStr">
        <is>
          <t>ЗК-1034</t>
        </is>
      </c>
      <c r="B37" s="4" t="n">
        <v>46251</v>
      </c>
      <c r="C37" s="3">
        <f>TEXT(B37,"MM.YYYY")</f>
        <v/>
      </c>
      <c r="D37" s="5" t="inlineStr">
        <is>
          <t>Иван Фёдорова</t>
        </is>
      </c>
      <c r="E37" s="5" t="inlineStr">
        <is>
          <t>Сандалии</t>
        </is>
      </c>
      <c r="F37" s="5" t="inlineStr">
        <is>
          <t>Обувь</t>
        </is>
      </c>
      <c r="G37" s="5" t="n">
        <v>1</v>
      </c>
      <c r="H37" s="6" t="n">
        <v>4239</v>
      </c>
      <c r="I37" s="7">
        <f>G37*H37</f>
        <v/>
      </c>
    </row>
    <row r="38">
      <c r="A38" s="3" t="inlineStr">
        <is>
          <t>ЗК-1035</t>
        </is>
      </c>
      <c r="B38" s="4" t="n">
        <v>46251</v>
      </c>
      <c r="C38" s="3">
        <f>TEXT(B38,"MM.YYYY")</f>
        <v/>
      </c>
      <c r="D38" s="5" t="inlineStr">
        <is>
          <t>Ольга Попова</t>
        </is>
      </c>
      <c r="E38" s="5" t="inlineStr">
        <is>
          <t>Сандалии</t>
        </is>
      </c>
      <c r="F38" s="5" t="inlineStr">
        <is>
          <t>Обувь</t>
        </is>
      </c>
      <c r="G38" s="5" t="n">
        <v>1</v>
      </c>
      <c r="H38" s="6" t="n">
        <v>4079</v>
      </c>
      <c r="I38" s="7">
        <f>G38*H38</f>
        <v/>
      </c>
    </row>
    <row r="39">
      <c r="A39" s="3" t="inlineStr">
        <is>
          <t>ЗК-1036</t>
        </is>
      </c>
      <c r="B39" s="4" t="n">
        <v>46251</v>
      </c>
      <c r="C39" s="3">
        <f>TEXT(B39,"MM.YYYY")</f>
        <v/>
      </c>
      <c r="D39" s="5" t="inlineStr">
        <is>
          <t>Николай Попова</t>
        </is>
      </c>
      <c r="E39" s="5" t="inlineStr">
        <is>
          <t>Худи оверсайз</t>
        </is>
      </c>
      <c r="F39" s="5" t="inlineStr">
        <is>
          <t>Одежда</t>
        </is>
      </c>
      <c r="G39" s="5" t="n">
        <v>1</v>
      </c>
      <c r="H39" s="6" t="n">
        <v>4209</v>
      </c>
      <c r="I39" s="7">
        <f>G39*H39</f>
        <v/>
      </c>
    </row>
    <row r="40">
      <c r="A40" s="3" t="inlineStr">
        <is>
          <t>ЗК-1037</t>
        </is>
      </c>
      <c r="B40" s="4" t="n">
        <v>46251</v>
      </c>
      <c r="C40" s="3">
        <f>TEXT(B40,"MM.YYYY")</f>
        <v/>
      </c>
      <c r="D40" s="5" t="inlineStr">
        <is>
          <t>Ольга Фёдорова</t>
        </is>
      </c>
      <c r="E40" s="5" t="inlineStr">
        <is>
          <t>Кроссовки</t>
        </is>
      </c>
      <c r="F40" s="5" t="inlineStr">
        <is>
          <t>Обувь</t>
        </is>
      </c>
      <c r="G40" s="5" t="n">
        <v>1</v>
      </c>
      <c r="H40" s="6" t="n">
        <v>6649</v>
      </c>
      <c r="I40" s="7">
        <f>G40*H40</f>
        <v/>
      </c>
    </row>
    <row r="41">
      <c r="A41" s="3" t="inlineStr">
        <is>
          <t>ЗК-1038</t>
        </is>
      </c>
      <c r="B41" s="4" t="n">
        <v>46252</v>
      </c>
      <c r="C41" s="3">
        <f>TEXT(B41,"MM.YYYY")</f>
        <v/>
      </c>
      <c r="D41" s="5" t="inlineStr">
        <is>
          <t>Наталья Петрова</t>
        </is>
      </c>
      <c r="E41" s="5" t="inlineStr">
        <is>
          <t>Шорты</t>
        </is>
      </c>
      <c r="F41" s="5" t="inlineStr">
        <is>
          <t>Одежда</t>
        </is>
      </c>
      <c r="G41" s="5" t="n">
        <v>1</v>
      </c>
      <c r="H41" s="6" t="n">
        <v>2699</v>
      </c>
      <c r="I41" s="7">
        <f>G41*H41</f>
        <v/>
      </c>
    </row>
    <row r="42">
      <c r="A42" s="3" t="inlineStr">
        <is>
          <t>ЗК-1039</t>
        </is>
      </c>
      <c r="B42" s="4" t="n">
        <v>46252</v>
      </c>
      <c r="C42" s="3">
        <f>TEXT(B42,"MM.YYYY")</f>
        <v/>
      </c>
      <c r="D42" s="5" t="inlineStr">
        <is>
          <t>Ольга Фёдорова</t>
        </is>
      </c>
      <c r="E42" s="5" t="inlineStr">
        <is>
          <t>Куртка демисезонная</t>
        </is>
      </c>
      <c r="F42" s="5" t="inlineStr">
        <is>
          <t>Одежда</t>
        </is>
      </c>
      <c r="G42" s="5" t="n">
        <v>1</v>
      </c>
      <c r="H42" s="6" t="n">
        <v>8629</v>
      </c>
      <c r="I42" s="7">
        <f>G42*H42</f>
        <v/>
      </c>
    </row>
    <row r="43">
      <c r="A43" s="3" t="inlineStr">
        <is>
          <t>ЗК-1040</t>
        </is>
      </c>
      <c r="B43" s="4" t="n">
        <v>46253</v>
      </c>
      <c r="C43" s="3">
        <f>TEXT(B43,"MM.YYYY")</f>
        <v/>
      </c>
      <c r="D43" s="5" t="inlineStr">
        <is>
          <t>Дмитрий Смирнов</t>
        </is>
      </c>
      <c r="E43" s="5" t="inlineStr">
        <is>
          <t>Джинсы прямые</t>
        </is>
      </c>
      <c r="F43" s="5" t="inlineStr">
        <is>
          <t>Одежда</t>
        </is>
      </c>
      <c r="G43" s="5" t="n">
        <v>2</v>
      </c>
      <c r="H43" s="6" t="n">
        <v>3689</v>
      </c>
      <c r="I43" s="7">
        <f>G43*H43</f>
        <v/>
      </c>
    </row>
    <row r="44">
      <c r="A44" s="3" t="inlineStr">
        <is>
          <t>ЗК-1041</t>
        </is>
      </c>
      <c r="B44" s="4" t="n">
        <v>46253</v>
      </c>
      <c r="C44" s="3">
        <f>TEXT(B44,"MM.YYYY")</f>
        <v/>
      </c>
      <c r="D44" s="5" t="inlineStr">
        <is>
          <t>Анна Соколова</t>
        </is>
      </c>
      <c r="E44" s="5" t="inlineStr">
        <is>
          <t>Худи оверсайз</t>
        </is>
      </c>
      <c r="F44" s="5" t="inlineStr">
        <is>
          <t>Одежда</t>
        </is>
      </c>
      <c r="G44" s="5" t="n">
        <v>1</v>
      </c>
      <c r="H44" s="6" t="n">
        <v>5769</v>
      </c>
      <c r="I44" s="7">
        <f>G44*H44</f>
        <v/>
      </c>
    </row>
    <row r="45">
      <c r="A45" s="3" t="inlineStr">
        <is>
          <t>ЗК-1042</t>
        </is>
      </c>
      <c r="B45" s="4" t="n">
        <v>46254</v>
      </c>
      <c r="C45" s="3">
        <f>TEXT(B45,"MM.YYYY")</f>
        <v/>
      </c>
      <c r="D45" s="5" t="inlineStr">
        <is>
          <t>Ольга Иванов</t>
        </is>
      </c>
      <c r="E45" s="5" t="inlineStr">
        <is>
          <t>Сандалии</t>
        </is>
      </c>
      <c r="F45" s="5" t="inlineStr">
        <is>
          <t>Обувь</t>
        </is>
      </c>
      <c r="G45" s="5" t="n">
        <v>1</v>
      </c>
      <c r="H45" s="6" t="n">
        <v>3929</v>
      </c>
      <c r="I45" s="7">
        <f>G45*H45</f>
        <v/>
      </c>
    </row>
    <row r="46">
      <c r="A46" s="3" t="inlineStr">
        <is>
          <t>ЗК-1043</t>
        </is>
      </c>
      <c r="B46" s="4" t="n">
        <v>46254</v>
      </c>
      <c r="C46" s="3">
        <f>TEXT(B46,"MM.YYYY")</f>
        <v/>
      </c>
      <c r="D46" s="5" t="inlineStr">
        <is>
          <t>Наталья Новиков</t>
        </is>
      </c>
      <c r="E46" s="5" t="inlineStr">
        <is>
          <t>Шорты</t>
        </is>
      </c>
      <c r="F46" s="5" t="inlineStr">
        <is>
          <t>Одежда</t>
        </is>
      </c>
      <c r="G46" s="5" t="n">
        <v>1</v>
      </c>
      <c r="H46" s="6" t="n">
        <v>2279</v>
      </c>
      <c r="I46" s="7">
        <f>G46*H46</f>
        <v/>
      </c>
    </row>
    <row r="47">
      <c r="A47" s="3" t="inlineStr">
        <is>
          <t>ЗК-1044</t>
        </is>
      </c>
      <c r="B47" s="4" t="n">
        <v>46254</v>
      </c>
      <c r="C47" s="3">
        <f>TEXT(B47,"MM.YYYY")</f>
        <v/>
      </c>
      <c r="D47" s="5" t="inlineStr">
        <is>
          <t>Татьяна Соколова</t>
        </is>
      </c>
      <c r="E47" s="5" t="inlineStr">
        <is>
          <t>Свитер шерстяной</t>
        </is>
      </c>
      <c r="F47" s="5" t="inlineStr">
        <is>
          <t>Одежда</t>
        </is>
      </c>
      <c r="G47" s="5" t="n">
        <v>1</v>
      </c>
      <c r="H47" s="6" t="n">
        <v>6069</v>
      </c>
      <c r="I47" s="7">
        <f>G47*H47</f>
        <v/>
      </c>
    </row>
    <row r="48">
      <c r="A48" s="3" t="inlineStr">
        <is>
          <t>ЗК-1045</t>
        </is>
      </c>
      <c r="B48" s="4" t="n">
        <v>46255</v>
      </c>
      <c r="C48" s="3">
        <f>TEXT(B48,"MM.YYYY")</f>
        <v/>
      </c>
      <c r="D48" s="5" t="inlineStr">
        <is>
          <t>Николай Соколова</t>
        </is>
      </c>
      <c r="E48" s="5" t="inlineStr">
        <is>
          <t>Кроссовки</t>
        </is>
      </c>
      <c r="F48" s="5" t="inlineStr">
        <is>
          <t>Обувь</t>
        </is>
      </c>
      <c r="G48" s="5" t="n">
        <v>1</v>
      </c>
      <c r="H48" s="6" t="n">
        <v>4589</v>
      </c>
      <c r="I48" s="7">
        <f>G48*H48</f>
        <v/>
      </c>
    </row>
    <row r="49">
      <c r="A49" s="3" t="inlineStr">
        <is>
          <t>ЗК-1046</t>
        </is>
      </c>
      <c r="B49" s="4" t="n">
        <v>46255</v>
      </c>
      <c r="C49" s="3">
        <f>TEXT(B49,"MM.YYYY")</f>
        <v/>
      </c>
      <c r="D49" s="5" t="inlineStr">
        <is>
          <t>Татьяна Кузнецова</t>
        </is>
      </c>
      <c r="E49" s="5" t="inlineStr">
        <is>
          <t>Джинсы прямые</t>
        </is>
      </c>
      <c r="F49" s="5" t="inlineStr">
        <is>
          <t>Одежда</t>
        </is>
      </c>
      <c r="G49" s="5" t="n">
        <v>2</v>
      </c>
      <c r="H49" s="6" t="n">
        <v>6289</v>
      </c>
      <c r="I49" s="7">
        <f>G49*H49</f>
        <v/>
      </c>
    </row>
    <row r="50">
      <c r="A50" s="3" t="inlineStr">
        <is>
          <t>ЗК-1047</t>
        </is>
      </c>
      <c r="B50" s="4" t="n">
        <v>46256</v>
      </c>
      <c r="C50" s="3">
        <f>TEXT(B50,"MM.YYYY")</f>
        <v/>
      </c>
      <c r="D50" s="5" t="inlineStr">
        <is>
          <t>Сергей Васильев</t>
        </is>
      </c>
      <c r="E50" s="5" t="inlineStr">
        <is>
          <t>Туфли</t>
        </is>
      </c>
      <c r="F50" s="5" t="inlineStr">
        <is>
          <t>Обувь</t>
        </is>
      </c>
      <c r="G50" s="5" t="n">
        <v>2</v>
      </c>
      <c r="H50" s="6" t="n">
        <v>6979</v>
      </c>
      <c r="I50" s="7">
        <f>G50*H50</f>
        <v/>
      </c>
    </row>
    <row r="51">
      <c r="A51" s="3" t="inlineStr">
        <is>
          <t>ЗК-1048</t>
        </is>
      </c>
      <c r="B51" s="4" t="n">
        <v>46256</v>
      </c>
      <c r="C51" s="3">
        <f>TEXT(B51,"MM.YYYY")</f>
        <v/>
      </c>
      <c r="D51" s="5" t="inlineStr">
        <is>
          <t>Иван Волков</t>
        </is>
      </c>
      <c r="E51" s="5" t="inlineStr">
        <is>
          <t>Рубашка льняная</t>
        </is>
      </c>
      <c r="F51" s="5" t="inlineStr">
        <is>
          <t>Одежда</t>
        </is>
      </c>
      <c r="G51" s="5" t="n">
        <v>1</v>
      </c>
      <c r="H51" s="6" t="n">
        <v>2959</v>
      </c>
      <c r="I51" s="7">
        <f>G51*H51</f>
        <v/>
      </c>
    </row>
    <row r="52">
      <c r="A52" s="3" t="inlineStr">
        <is>
          <t>ЗК-1049</t>
        </is>
      </c>
      <c r="B52" s="4" t="n">
        <v>46257</v>
      </c>
      <c r="C52" s="3">
        <f>TEXT(B52,"MM.YYYY")</f>
        <v/>
      </c>
      <c r="D52" s="5" t="inlineStr">
        <is>
          <t>Сергей Фёдорова</t>
        </is>
      </c>
      <c r="E52" s="5" t="inlineStr">
        <is>
          <t>Худи оверсайз</t>
        </is>
      </c>
      <c r="F52" s="5" t="inlineStr">
        <is>
          <t>Одежда</t>
        </is>
      </c>
      <c r="G52" s="5" t="n">
        <v>1</v>
      </c>
      <c r="H52" s="6" t="n">
        <v>5059</v>
      </c>
      <c r="I52" s="7">
        <f>G52*H52</f>
        <v/>
      </c>
    </row>
    <row r="53">
      <c r="A53" s="3" t="inlineStr">
        <is>
          <t>ЗК-1050</t>
        </is>
      </c>
      <c r="B53" s="4" t="n">
        <v>46258</v>
      </c>
      <c r="C53" s="3">
        <f>TEXT(B53,"MM.YYYY")</f>
        <v/>
      </c>
      <c r="D53" s="5" t="inlineStr">
        <is>
          <t>Сергей Волков</t>
        </is>
      </c>
      <c r="E53" s="5" t="inlineStr">
        <is>
          <t>Кеды</t>
        </is>
      </c>
      <c r="F53" s="5" t="inlineStr">
        <is>
          <t>Обувь</t>
        </is>
      </c>
      <c r="G53" s="5" t="n">
        <v>1</v>
      </c>
      <c r="H53" s="6" t="n">
        <v>5849</v>
      </c>
      <c r="I53" s="7">
        <f>G53*H53</f>
        <v/>
      </c>
    </row>
    <row r="54">
      <c r="A54" s="3" t="inlineStr">
        <is>
          <t>ЗК-1051</t>
        </is>
      </c>
      <c r="B54" s="4" t="n">
        <v>46258</v>
      </c>
      <c r="C54" s="3">
        <f>TEXT(B54,"MM.YYYY")</f>
        <v/>
      </c>
      <c r="D54" s="5" t="inlineStr">
        <is>
          <t>Иван Соколова</t>
        </is>
      </c>
      <c r="E54" s="5" t="inlineStr">
        <is>
          <t>Кроссовки</t>
        </is>
      </c>
      <c r="F54" s="5" t="inlineStr">
        <is>
          <t>Обувь</t>
        </is>
      </c>
      <c r="G54" s="5" t="n">
        <v>1</v>
      </c>
      <c r="H54" s="6" t="n">
        <v>10739</v>
      </c>
      <c r="I54" s="7">
        <f>G54*H54</f>
        <v/>
      </c>
    </row>
    <row r="55">
      <c r="A55" s="3" t="inlineStr">
        <is>
          <t>ЗК-1052</t>
        </is>
      </c>
      <c r="B55" s="4" t="n">
        <v>46260</v>
      </c>
      <c r="C55" s="3">
        <f>TEXT(B55,"MM.YYYY")</f>
        <v/>
      </c>
      <c r="D55" s="5" t="inlineStr">
        <is>
          <t>Елена Новиков</t>
        </is>
      </c>
      <c r="E55" s="5" t="inlineStr">
        <is>
          <t>Джинсы прямые</t>
        </is>
      </c>
      <c r="F55" s="5" t="inlineStr">
        <is>
          <t>Одежда</t>
        </is>
      </c>
      <c r="G55" s="5" t="n">
        <v>1</v>
      </c>
      <c r="H55" s="6" t="n">
        <v>6059</v>
      </c>
      <c r="I55" s="7">
        <f>G55*H55</f>
        <v/>
      </c>
    </row>
    <row r="56">
      <c r="A56" s="3" t="inlineStr">
        <is>
          <t>ЗК-1053</t>
        </is>
      </c>
      <c r="B56" s="4" t="n">
        <v>46262</v>
      </c>
      <c r="C56" s="3">
        <f>TEXT(B56,"MM.YYYY")</f>
        <v/>
      </c>
      <c r="D56" s="5" t="inlineStr">
        <is>
          <t>Елена Волков</t>
        </is>
      </c>
      <c r="E56" s="5" t="inlineStr">
        <is>
          <t>Сандалии</t>
        </is>
      </c>
      <c r="F56" s="5" t="inlineStr">
        <is>
          <t>Обувь</t>
        </is>
      </c>
      <c r="G56" s="5" t="n">
        <v>1</v>
      </c>
      <c r="H56" s="6" t="n">
        <v>4279</v>
      </c>
      <c r="I56" s="7">
        <f>G56*H56</f>
        <v/>
      </c>
    </row>
    <row r="57">
      <c r="A57" s="3" t="inlineStr">
        <is>
          <t>ЗК-1054</t>
        </is>
      </c>
      <c r="B57" s="4" t="n">
        <v>46262</v>
      </c>
      <c r="C57" s="3">
        <f>TEXT(B57,"MM.YYYY")</f>
        <v/>
      </c>
      <c r="D57" s="5" t="inlineStr">
        <is>
          <t>Ольга Попова</t>
        </is>
      </c>
      <c r="E57" s="5" t="inlineStr">
        <is>
          <t>Худи оверсайз</t>
        </is>
      </c>
      <c r="F57" s="5" t="inlineStr">
        <is>
          <t>Одежда</t>
        </is>
      </c>
      <c r="G57" s="5" t="n">
        <v>2</v>
      </c>
      <c r="H57" s="6" t="n">
        <v>4729</v>
      </c>
      <c r="I57" s="7">
        <f>G57*H57</f>
        <v/>
      </c>
    </row>
    <row r="58">
      <c r="A58" s="3" t="inlineStr">
        <is>
          <t>ЗК-1055</t>
        </is>
      </c>
      <c r="B58" s="4" t="n">
        <v>46263</v>
      </c>
      <c r="C58" s="3">
        <f>TEXT(B58,"MM.YYYY")</f>
        <v/>
      </c>
      <c r="D58" s="5" t="inlineStr">
        <is>
          <t>Ольга Соколова</t>
        </is>
      </c>
      <c r="E58" s="5" t="inlineStr">
        <is>
          <t>Кроссовки</t>
        </is>
      </c>
      <c r="F58" s="5" t="inlineStr">
        <is>
          <t>Обувь</t>
        </is>
      </c>
      <c r="G58" s="5" t="n">
        <v>2</v>
      </c>
      <c r="H58" s="6" t="n">
        <v>10879</v>
      </c>
      <c r="I58" s="7">
        <f>G58*H58</f>
        <v/>
      </c>
    </row>
    <row r="59">
      <c r="A59" s="3" t="inlineStr">
        <is>
          <t>ЗК-1056</t>
        </is>
      </c>
      <c r="B59" s="4" t="n">
        <v>46263</v>
      </c>
      <c r="C59" s="3">
        <f>TEXT(B59,"MM.YYYY")</f>
        <v/>
      </c>
      <c r="D59" s="5" t="inlineStr">
        <is>
          <t>Елена Новиков</t>
        </is>
      </c>
      <c r="E59" s="5" t="inlineStr">
        <is>
          <t>Футболка хлопковая</t>
        </is>
      </c>
      <c r="F59" s="5" t="inlineStr">
        <is>
          <t>Одежда</t>
        </is>
      </c>
      <c r="G59" s="5" t="n">
        <v>1</v>
      </c>
      <c r="H59" s="6" t="n">
        <v>2429</v>
      </c>
      <c r="I59" s="7">
        <f>G59*H59</f>
        <v/>
      </c>
    </row>
    <row r="60">
      <c r="A60" s="3" t="inlineStr">
        <is>
          <t>ЗК-1057</t>
        </is>
      </c>
      <c r="B60" s="4" t="n">
        <v>46264</v>
      </c>
      <c r="C60" s="3">
        <f>TEXT(B60,"MM.YYYY")</f>
        <v/>
      </c>
      <c r="D60" s="5" t="inlineStr">
        <is>
          <t>Мария Кузнецова</t>
        </is>
      </c>
      <c r="E60" s="5" t="inlineStr">
        <is>
          <t>Футболка хлопковая</t>
        </is>
      </c>
      <c r="F60" s="5" t="inlineStr">
        <is>
          <t>Одежда</t>
        </is>
      </c>
      <c r="G60" s="5" t="n">
        <v>2</v>
      </c>
      <c r="H60" s="6" t="n">
        <v>1429</v>
      </c>
      <c r="I60" s="7">
        <f>G60*H60</f>
        <v/>
      </c>
    </row>
    <row r="61">
      <c r="A61" s="3" t="inlineStr">
        <is>
          <t>ЗК-1058</t>
        </is>
      </c>
      <c r="B61" s="4" t="n">
        <v>46264</v>
      </c>
      <c r="C61" s="3">
        <f>TEXT(B61,"MM.YYYY")</f>
        <v/>
      </c>
      <c r="D61" s="5" t="inlineStr">
        <is>
          <t>Ольга Волков</t>
        </is>
      </c>
      <c r="E61" s="5" t="inlineStr">
        <is>
          <t>Туфли</t>
        </is>
      </c>
      <c r="F61" s="5" t="inlineStr">
        <is>
          <t>Обувь</t>
        </is>
      </c>
      <c r="G61" s="5" t="n">
        <v>1</v>
      </c>
      <c r="H61" s="6" t="n">
        <v>7319</v>
      </c>
      <c r="I61" s="7">
        <f>G61*H61</f>
        <v/>
      </c>
    </row>
    <row r="62">
      <c r="A62" s="3" t="inlineStr">
        <is>
          <t>ЗК-1059</t>
        </is>
      </c>
      <c r="B62" s="4" t="n">
        <v>46266</v>
      </c>
      <c r="C62" s="3">
        <f>TEXT(B62,"MM.YYYY")</f>
        <v/>
      </c>
      <c r="D62" s="5" t="inlineStr">
        <is>
          <t>Ольга Волков</t>
        </is>
      </c>
      <c r="E62" s="5" t="inlineStr">
        <is>
          <t>Куртка демисезонная</t>
        </is>
      </c>
      <c r="F62" s="5" t="inlineStr">
        <is>
          <t>Одежда</t>
        </is>
      </c>
      <c r="G62" s="5" t="n">
        <v>2</v>
      </c>
      <c r="H62" s="6" t="n">
        <v>12149</v>
      </c>
      <c r="I62" s="7">
        <f>G62*H62</f>
        <v/>
      </c>
    </row>
    <row r="63">
      <c r="A63" s="3" t="inlineStr">
        <is>
          <t>ЗК-1060</t>
        </is>
      </c>
      <c r="B63" s="4" t="n">
        <v>46267</v>
      </c>
      <c r="C63" s="3">
        <f>TEXT(B63,"MM.YYYY")</f>
        <v/>
      </c>
      <c r="D63" s="5" t="inlineStr">
        <is>
          <t>Николай Сидоров</t>
        </is>
      </c>
      <c r="E63" s="5" t="inlineStr">
        <is>
          <t>Джинсы прямые</t>
        </is>
      </c>
      <c r="F63" s="5" t="inlineStr">
        <is>
          <t>Одежда</t>
        </is>
      </c>
      <c r="G63" s="5" t="n">
        <v>1</v>
      </c>
      <c r="H63" s="6" t="n">
        <v>6499</v>
      </c>
      <c r="I63" s="7">
        <f>G63*H63</f>
        <v/>
      </c>
    </row>
    <row r="64">
      <c r="A64" s="3" t="inlineStr">
        <is>
          <t>ЗК-1061</t>
        </is>
      </c>
      <c r="B64" s="4" t="n">
        <v>46267</v>
      </c>
      <c r="C64" s="3">
        <f>TEXT(B64,"MM.YYYY")</f>
        <v/>
      </c>
      <c r="D64" s="5" t="inlineStr">
        <is>
          <t>Павел Фёдорова</t>
        </is>
      </c>
      <c r="E64" s="5" t="inlineStr">
        <is>
          <t>Джинсы прямые</t>
        </is>
      </c>
      <c r="F64" s="5" t="inlineStr">
        <is>
          <t>Одежда</t>
        </is>
      </c>
      <c r="G64" s="5" t="n">
        <v>2</v>
      </c>
      <c r="H64" s="6" t="n">
        <v>5679</v>
      </c>
      <c r="I64" s="7">
        <f>G64*H64</f>
        <v/>
      </c>
    </row>
    <row r="65">
      <c r="A65" s="3" t="inlineStr">
        <is>
          <t>ЗК-1062</t>
        </is>
      </c>
      <c r="B65" s="4" t="n">
        <v>46268</v>
      </c>
      <c r="C65" s="3">
        <f>TEXT(B65,"MM.YYYY")</f>
        <v/>
      </c>
      <c r="D65" s="5" t="inlineStr">
        <is>
          <t>Елена Васильев</t>
        </is>
      </c>
      <c r="E65" s="5" t="inlineStr">
        <is>
          <t>Худи оверсайз</t>
        </is>
      </c>
      <c r="F65" s="5" t="inlineStr">
        <is>
          <t>Одежда</t>
        </is>
      </c>
      <c r="G65" s="5" t="n">
        <v>2</v>
      </c>
      <c r="H65" s="6" t="n">
        <v>5149</v>
      </c>
      <c r="I65" s="7">
        <f>G65*H65</f>
        <v/>
      </c>
    </row>
    <row r="66">
      <c r="A66" s="3" t="inlineStr">
        <is>
          <t>ЗК-1063</t>
        </is>
      </c>
      <c r="B66" s="4" t="n">
        <v>46269</v>
      </c>
      <c r="C66" s="3">
        <f>TEXT(B66,"MM.YYYY")</f>
        <v/>
      </c>
      <c r="D66" s="5" t="inlineStr">
        <is>
          <t>Наталья Иванов</t>
        </is>
      </c>
      <c r="E66" s="5" t="inlineStr">
        <is>
          <t>Худи оверсайз</t>
        </is>
      </c>
      <c r="F66" s="5" t="inlineStr">
        <is>
          <t>Одежда</t>
        </is>
      </c>
      <c r="G66" s="5" t="n">
        <v>1</v>
      </c>
      <c r="H66" s="6" t="n">
        <v>4279</v>
      </c>
      <c r="I66" s="7">
        <f>G66*H66</f>
        <v/>
      </c>
    </row>
    <row r="67">
      <c r="A67" s="3" t="inlineStr">
        <is>
          <t>ЗК-1064</t>
        </is>
      </c>
      <c r="B67" s="4" t="n">
        <v>46269</v>
      </c>
      <c r="C67" s="3">
        <f>TEXT(B67,"MM.YYYY")</f>
        <v/>
      </c>
      <c r="D67" s="5" t="inlineStr">
        <is>
          <t>Елена Смирнов</t>
        </is>
      </c>
      <c r="E67" s="5" t="inlineStr">
        <is>
          <t>Ботинки кожаные</t>
        </is>
      </c>
      <c r="F67" s="5" t="inlineStr">
        <is>
          <t>Обувь</t>
        </is>
      </c>
      <c r="G67" s="5" t="n">
        <v>3</v>
      </c>
      <c r="H67" s="6" t="n">
        <v>9969</v>
      </c>
      <c r="I67" s="7">
        <f>G67*H67</f>
        <v/>
      </c>
    </row>
    <row r="68">
      <c r="A68" s="3" t="inlineStr">
        <is>
          <t>ЗК-1065</t>
        </is>
      </c>
      <c r="B68" s="4" t="n">
        <v>46269</v>
      </c>
      <c r="C68" s="3">
        <f>TEXT(B68,"MM.YYYY")</f>
        <v/>
      </c>
      <c r="D68" s="5" t="inlineStr">
        <is>
          <t>Дмитрий Васильев</t>
        </is>
      </c>
      <c r="E68" s="5" t="inlineStr">
        <is>
          <t>Кроссовки</t>
        </is>
      </c>
      <c r="F68" s="5" t="inlineStr">
        <is>
          <t>Обувь</t>
        </is>
      </c>
      <c r="G68" s="5" t="n">
        <v>1</v>
      </c>
      <c r="H68" s="6" t="n">
        <v>10689</v>
      </c>
      <c r="I68" s="7">
        <f>G68*H68</f>
        <v/>
      </c>
    </row>
    <row r="69">
      <c r="A69" s="3" t="inlineStr">
        <is>
          <t>ЗК-1066</t>
        </is>
      </c>
      <c r="B69" s="4" t="n">
        <v>46270</v>
      </c>
      <c r="C69" s="3">
        <f>TEXT(B69,"MM.YYYY")</f>
        <v/>
      </c>
      <c r="D69" s="5" t="inlineStr">
        <is>
          <t>Павел Фёдорова</t>
        </is>
      </c>
      <c r="E69" s="5" t="inlineStr">
        <is>
          <t>Куртка демисезонная</t>
        </is>
      </c>
      <c r="F69" s="5" t="inlineStr">
        <is>
          <t>Одежда</t>
        </is>
      </c>
      <c r="G69" s="5" t="n">
        <v>1</v>
      </c>
      <c r="H69" s="6" t="n">
        <v>13339</v>
      </c>
      <c r="I69" s="7">
        <f>G69*H69</f>
        <v/>
      </c>
    </row>
    <row r="70">
      <c r="A70" s="3" t="inlineStr">
        <is>
          <t>ЗК-1067</t>
        </is>
      </c>
      <c r="B70" s="4" t="n">
        <v>46270</v>
      </c>
      <c r="C70" s="3">
        <f>TEXT(B70,"MM.YYYY")</f>
        <v/>
      </c>
      <c r="D70" s="5" t="inlineStr">
        <is>
          <t>Татьяна Попова</t>
        </is>
      </c>
      <c r="E70" s="5" t="inlineStr">
        <is>
          <t>Сандалии</t>
        </is>
      </c>
      <c r="F70" s="5" t="inlineStr">
        <is>
          <t>Обувь</t>
        </is>
      </c>
      <c r="G70" s="5" t="n">
        <v>1</v>
      </c>
      <c r="H70" s="6" t="n">
        <v>3729</v>
      </c>
      <c r="I70" s="7">
        <f>G70*H70</f>
        <v/>
      </c>
    </row>
    <row r="71">
      <c r="A71" s="3" t="inlineStr">
        <is>
          <t>ЗК-1068</t>
        </is>
      </c>
      <c r="B71" s="4" t="n">
        <v>46270</v>
      </c>
      <c r="C71" s="3">
        <f>TEXT(B71,"MM.YYYY")</f>
        <v/>
      </c>
      <c r="D71" s="5" t="inlineStr">
        <is>
          <t>Алексей Морозова</t>
        </is>
      </c>
      <c r="E71" s="5" t="inlineStr">
        <is>
          <t>Кроссовки</t>
        </is>
      </c>
      <c r="F71" s="5" t="inlineStr">
        <is>
          <t>Обувь</t>
        </is>
      </c>
      <c r="G71" s="5" t="n">
        <v>1</v>
      </c>
      <c r="H71" s="6" t="n">
        <v>8199</v>
      </c>
      <c r="I71" s="7">
        <f>G71*H71</f>
        <v/>
      </c>
    </row>
    <row r="72">
      <c r="A72" s="3" t="inlineStr">
        <is>
          <t>ЗК-1069</t>
        </is>
      </c>
      <c r="B72" s="4" t="n">
        <v>46270</v>
      </c>
      <c r="C72" s="3">
        <f>TEXT(B72,"MM.YYYY")</f>
        <v/>
      </c>
      <c r="D72" s="5" t="inlineStr">
        <is>
          <t>Алексей Волков</t>
        </is>
      </c>
      <c r="E72" s="5" t="inlineStr">
        <is>
          <t>Куртка демисезонная</t>
        </is>
      </c>
      <c r="F72" s="5" t="inlineStr">
        <is>
          <t>Одежда</t>
        </is>
      </c>
      <c r="G72" s="5" t="n">
        <v>1</v>
      </c>
      <c r="H72" s="6" t="n">
        <v>8019</v>
      </c>
      <c r="I72" s="7">
        <f>G72*H72</f>
        <v/>
      </c>
    </row>
    <row r="73">
      <c r="A73" s="3" t="inlineStr">
        <is>
          <t>ЗК-1070</t>
        </is>
      </c>
      <c r="B73" s="4" t="n">
        <v>46270</v>
      </c>
      <c r="C73" s="3">
        <f>TEXT(B73,"MM.YYYY")</f>
        <v/>
      </c>
      <c r="D73" s="5" t="inlineStr">
        <is>
          <t>Дмитрий Новиков</t>
        </is>
      </c>
      <c r="E73" s="5" t="inlineStr">
        <is>
          <t>Ботинки кожаные</t>
        </is>
      </c>
      <c r="F73" s="5" t="inlineStr">
        <is>
          <t>Обувь</t>
        </is>
      </c>
      <c r="G73" s="5" t="n">
        <v>1</v>
      </c>
      <c r="H73" s="6" t="n">
        <v>11039</v>
      </c>
      <c r="I73" s="7">
        <f>G73*H73</f>
        <v/>
      </c>
    </row>
    <row r="74">
      <c r="A74" s="3" t="inlineStr">
        <is>
          <t>ЗК-1071</t>
        </is>
      </c>
      <c r="B74" s="4" t="n">
        <v>46271</v>
      </c>
      <c r="C74" s="3">
        <f>TEXT(B74,"MM.YYYY")</f>
        <v/>
      </c>
      <c r="D74" s="5" t="inlineStr">
        <is>
          <t>Алексей Соколова</t>
        </is>
      </c>
      <c r="E74" s="5" t="inlineStr">
        <is>
          <t>Куртка демисезонная</t>
        </is>
      </c>
      <c r="F74" s="5" t="inlineStr">
        <is>
          <t>Одежда</t>
        </is>
      </c>
      <c r="G74" s="5" t="n">
        <v>1</v>
      </c>
      <c r="H74" s="6" t="n">
        <v>7559</v>
      </c>
      <c r="I74" s="7">
        <f>G74*H74</f>
        <v/>
      </c>
    </row>
    <row r="75">
      <c r="A75" s="3" t="inlineStr">
        <is>
          <t>ЗК-1072</t>
        </is>
      </c>
      <c r="B75" s="4" t="n">
        <v>46272</v>
      </c>
      <c r="C75" s="3">
        <f>TEXT(B75,"MM.YYYY")</f>
        <v/>
      </c>
      <c r="D75" s="5" t="inlineStr">
        <is>
          <t>Мария Волков</t>
        </is>
      </c>
      <c r="E75" s="5" t="inlineStr">
        <is>
          <t>Сандалии</t>
        </is>
      </c>
      <c r="F75" s="5" t="inlineStr">
        <is>
          <t>Обувь</t>
        </is>
      </c>
      <c r="G75" s="5" t="n">
        <v>1</v>
      </c>
      <c r="H75" s="6" t="n">
        <v>2439</v>
      </c>
      <c r="I75" s="7">
        <f>G75*H75</f>
        <v/>
      </c>
    </row>
    <row r="76">
      <c r="A76" s="3" t="inlineStr">
        <is>
          <t>ЗК-1073</t>
        </is>
      </c>
      <c r="B76" s="4" t="n">
        <v>46273</v>
      </c>
      <c r="C76" s="3">
        <f>TEXT(B76,"MM.YYYY")</f>
        <v/>
      </c>
      <c r="D76" s="5" t="inlineStr">
        <is>
          <t>Иван Смирнов</t>
        </is>
      </c>
      <c r="E76" s="5" t="inlineStr">
        <is>
          <t>Футболка хлопковая</t>
        </is>
      </c>
      <c r="F76" s="5" t="inlineStr">
        <is>
          <t>Одежда</t>
        </is>
      </c>
      <c r="G76" s="5" t="n">
        <v>1</v>
      </c>
      <c r="H76" s="6" t="n">
        <v>1879</v>
      </c>
      <c r="I76" s="7">
        <f>G76*H76</f>
        <v/>
      </c>
    </row>
    <row r="77">
      <c r="A77" s="3" t="inlineStr">
        <is>
          <t>ЗК-1074</t>
        </is>
      </c>
      <c r="B77" s="4" t="n">
        <v>46274</v>
      </c>
      <c r="C77" s="3">
        <f>TEXT(B77,"MM.YYYY")</f>
        <v/>
      </c>
      <c r="D77" s="5" t="inlineStr">
        <is>
          <t>Наталья Волков</t>
        </is>
      </c>
      <c r="E77" s="5" t="inlineStr">
        <is>
          <t>Куртка демисезонная</t>
        </is>
      </c>
      <c r="F77" s="5" t="inlineStr">
        <is>
          <t>Одежда</t>
        </is>
      </c>
      <c r="G77" s="5" t="n">
        <v>1</v>
      </c>
      <c r="H77" s="6" t="n">
        <v>9779</v>
      </c>
      <c r="I77" s="7">
        <f>G77*H77</f>
        <v/>
      </c>
    </row>
    <row r="78">
      <c r="A78" s="3" t="inlineStr">
        <is>
          <t>ЗК-1075</t>
        </is>
      </c>
      <c r="B78" s="4" t="n">
        <v>46274</v>
      </c>
      <c r="C78" s="3">
        <f>TEXT(B78,"MM.YYYY")</f>
        <v/>
      </c>
      <c r="D78" s="5" t="inlineStr">
        <is>
          <t>Татьяна Фёдорова</t>
        </is>
      </c>
      <c r="E78" s="5" t="inlineStr">
        <is>
          <t>Куртка демисезонная</t>
        </is>
      </c>
      <c r="F78" s="5" t="inlineStr">
        <is>
          <t>Одежда</t>
        </is>
      </c>
      <c r="G78" s="5" t="n">
        <v>1</v>
      </c>
      <c r="H78" s="6" t="n">
        <v>11919</v>
      </c>
      <c r="I78" s="7">
        <f>G78*H78</f>
        <v/>
      </c>
    </row>
    <row r="79">
      <c r="A79" s="3" t="inlineStr">
        <is>
          <t>ЗК-1076</t>
        </is>
      </c>
      <c r="B79" s="4" t="n">
        <v>46275</v>
      </c>
      <c r="C79" s="3">
        <f>TEXT(B79,"MM.YYYY")</f>
        <v/>
      </c>
      <c r="D79" s="5" t="inlineStr">
        <is>
          <t>Сергей Петрова</t>
        </is>
      </c>
      <c r="E79" s="5" t="inlineStr">
        <is>
          <t>Ботинки кожаные</t>
        </is>
      </c>
      <c r="F79" s="5" t="inlineStr">
        <is>
          <t>Обувь</t>
        </is>
      </c>
      <c r="G79" s="5" t="n">
        <v>1</v>
      </c>
      <c r="H79" s="6" t="n">
        <v>11219</v>
      </c>
      <c r="I79" s="7">
        <f>G79*H79</f>
        <v/>
      </c>
    </row>
    <row r="80">
      <c r="A80" s="3" t="inlineStr">
        <is>
          <t>ЗК-1077</t>
        </is>
      </c>
      <c r="B80" s="4" t="n">
        <v>46275</v>
      </c>
      <c r="C80" s="3">
        <f>TEXT(B80,"MM.YYYY")</f>
        <v/>
      </c>
      <c r="D80" s="5" t="inlineStr">
        <is>
          <t>Дмитрий Волков</t>
        </is>
      </c>
      <c r="E80" s="5" t="inlineStr">
        <is>
          <t>Туфли</t>
        </is>
      </c>
      <c r="F80" s="5" t="inlineStr">
        <is>
          <t>Обувь</t>
        </is>
      </c>
      <c r="G80" s="5" t="n">
        <v>2</v>
      </c>
      <c r="H80" s="6" t="n">
        <v>8669</v>
      </c>
      <c r="I80" s="7">
        <f>G80*H80</f>
        <v/>
      </c>
    </row>
    <row r="81">
      <c r="A81" s="3" t="inlineStr">
        <is>
          <t>ЗК-1078</t>
        </is>
      </c>
      <c r="B81" s="4" t="n">
        <v>46275</v>
      </c>
      <c r="C81" s="3">
        <f>TEXT(B81,"MM.YYYY")</f>
        <v/>
      </c>
      <c r="D81" s="5" t="inlineStr">
        <is>
          <t>Елена Кузнецова</t>
        </is>
      </c>
      <c r="E81" s="5" t="inlineStr">
        <is>
          <t>Куртка демисезонная</t>
        </is>
      </c>
      <c r="F81" s="5" t="inlineStr">
        <is>
          <t>Одежда</t>
        </is>
      </c>
      <c r="G81" s="5" t="n">
        <v>1</v>
      </c>
      <c r="H81" s="6" t="n">
        <v>8269</v>
      </c>
      <c r="I81" s="7">
        <f>G81*H81</f>
        <v/>
      </c>
    </row>
    <row r="82">
      <c r="A82" s="3" t="inlineStr">
        <is>
          <t>ЗК-1079</t>
        </is>
      </c>
      <c r="B82" s="4" t="n">
        <v>46276</v>
      </c>
      <c r="C82" s="3">
        <f>TEXT(B82,"MM.YYYY")</f>
        <v/>
      </c>
      <c r="D82" s="5" t="inlineStr">
        <is>
          <t>Дмитрий Сидоров</t>
        </is>
      </c>
      <c r="E82" s="5" t="inlineStr">
        <is>
          <t>Шорты</t>
        </is>
      </c>
      <c r="F82" s="5" t="inlineStr">
        <is>
          <t>Одежда</t>
        </is>
      </c>
      <c r="G82" s="5" t="n">
        <v>1</v>
      </c>
      <c r="H82" s="6" t="n">
        <v>2219</v>
      </c>
      <c r="I82" s="7">
        <f>G82*H82</f>
        <v/>
      </c>
    </row>
    <row r="83">
      <c r="A83" s="3" t="inlineStr">
        <is>
          <t>ЗК-1080</t>
        </is>
      </c>
      <c r="B83" s="4" t="n">
        <v>46276</v>
      </c>
      <c r="C83" s="3">
        <f>TEXT(B83,"MM.YYYY")</f>
        <v/>
      </c>
      <c r="D83" s="5" t="inlineStr">
        <is>
          <t>Анна Иванов</t>
        </is>
      </c>
      <c r="E83" s="5" t="inlineStr">
        <is>
          <t>Свитер шерстяной</t>
        </is>
      </c>
      <c r="F83" s="5" t="inlineStr">
        <is>
          <t>Одежда</t>
        </is>
      </c>
      <c r="G83" s="5" t="n">
        <v>1</v>
      </c>
      <c r="H83" s="6" t="n">
        <v>6889</v>
      </c>
      <c r="I83" s="7">
        <f>G83*H83</f>
        <v/>
      </c>
    </row>
    <row r="84">
      <c r="A84" s="3" t="inlineStr">
        <is>
          <t>ЗК-1081</t>
        </is>
      </c>
      <c r="B84" s="4" t="n">
        <v>46277</v>
      </c>
      <c r="C84" s="3">
        <f>TEXT(B84,"MM.YYYY")</f>
        <v/>
      </c>
      <c r="D84" s="5" t="inlineStr">
        <is>
          <t>Дмитрий Морозова</t>
        </is>
      </c>
      <c r="E84" s="5" t="inlineStr">
        <is>
          <t>Сандалии</t>
        </is>
      </c>
      <c r="F84" s="5" t="inlineStr">
        <is>
          <t>Обувь</t>
        </is>
      </c>
      <c r="G84" s="5" t="n">
        <v>1</v>
      </c>
      <c r="H84" s="6" t="n">
        <v>2599</v>
      </c>
      <c r="I84" s="7">
        <f>G84*H84</f>
        <v/>
      </c>
    </row>
    <row r="85">
      <c r="A85" s="3" t="inlineStr">
        <is>
          <t>ЗК-1082</t>
        </is>
      </c>
      <c r="B85" s="4" t="n">
        <v>46277</v>
      </c>
      <c r="C85" s="3">
        <f>TEXT(B85,"MM.YYYY")</f>
        <v/>
      </c>
      <c r="D85" s="5" t="inlineStr">
        <is>
          <t>Павел Петрова</t>
        </is>
      </c>
      <c r="E85" s="5" t="inlineStr">
        <is>
          <t>Кеды</t>
        </is>
      </c>
      <c r="F85" s="5" t="inlineStr">
        <is>
          <t>Обувь</t>
        </is>
      </c>
      <c r="G85" s="5" t="n">
        <v>2</v>
      </c>
      <c r="H85" s="6" t="n">
        <v>4289</v>
      </c>
      <c r="I85" s="7">
        <f>G85*H85</f>
        <v/>
      </c>
    </row>
    <row r="86">
      <c r="A86" s="3" t="inlineStr">
        <is>
          <t>ЗК-1083</t>
        </is>
      </c>
      <c r="B86" s="4" t="n">
        <v>46277</v>
      </c>
      <c r="C86" s="3">
        <f>TEXT(B86,"MM.YYYY")</f>
        <v/>
      </c>
      <c r="D86" s="5" t="inlineStr">
        <is>
          <t>Алексей Васильев</t>
        </is>
      </c>
      <c r="E86" s="5" t="inlineStr">
        <is>
          <t>Джинсы прямые</t>
        </is>
      </c>
      <c r="F86" s="5" t="inlineStr">
        <is>
          <t>Одежда</t>
        </is>
      </c>
      <c r="G86" s="5" t="n">
        <v>1</v>
      </c>
      <c r="H86" s="6" t="n">
        <v>4519</v>
      </c>
      <c r="I86" s="7">
        <f>G86*H86</f>
        <v/>
      </c>
    </row>
    <row r="87">
      <c r="A87" s="3" t="inlineStr">
        <is>
          <t>ЗК-1084</t>
        </is>
      </c>
      <c r="B87" s="4" t="n">
        <v>46278</v>
      </c>
      <c r="C87" s="3">
        <f>TEXT(B87,"MM.YYYY")</f>
        <v/>
      </c>
      <c r="D87" s="5" t="inlineStr">
        <is>
          <t>Татьяна Фёдорова</t>
        </is>
      </c>
      <c r="E87" s="5" t="inlineStr">
        <is>
          <t>Кроссовки</t>
        </is>
      </c>
      <c r="F87" s="5" t="inlineStr">
        <is>
          <t>Обувь</t>
        </is>
      </c>
      <c r="G87" s="5" t="n">
        <v>1</v>
      </c>
      <c r="H87" s="6" t="n">
        <v>8179</v>
      </c>
      <c r="I87" s="7">
        <f>G87*H87</f>
        <v/>
      </c>
    </row>
    <row r="88">
      <c r="A88" s="3" t="inlineStr">
        <is>
          <t>ЗК-1085</t>
        </is>
      </c>
      <c r="B88" s="4" t="n">
        <v>46279</v>
      </c>
      <c r="C88" s="3">
        <f>TEXT(B88,"MM.YYYY")</f>
        <v/>
      </c>
      <c r="D88" s="5" t="inlineStr">
        <is>
          <t>Дмитрий Соколова</t>
        </is>
      </c>
      <c r="E88" s="5" t="inlineStr">
        <is>
          <t>Худи оверсайз</t>
        </is>
      </c>
      <c r="F88" s="5" t="inlineStr">
        <is>
          <t>Одежда</t>
        </is>
      </c>
      <c r="G88" s="5" t="n">
        <v>1</v>
      </c>
      <c r="H88" s="6" t="n">
        <v>4339</v>
      </c>
      <c r="I88" s="7">
        <f>G88*H88</f>
        <v/>
      </c>
    </row>
    <row r="89">
      <c r="A89" s="3" t="inlineStr">
        <is>
          <t>ЗК-1086</t>
        </is>
      </c>
      <c r="B89" s="4" t="n">
        <v>46280</v>
      </c>
      <c r="C89" s="3">
        <f>TEXT(B89,"MM.YYYY")</f>
        <v/>
      </c>
      <c r="D89" s="5" t="inlineStr">
        <is>
          <t>Николай Васильев</t>
        </is>
      </c>
      <c r="E89" s="5" t="inlineStr">
        <is>
          <t>Джинсы прямые</t>
        </is>
      </c>
      <c r="F89" s="5" t="inlineStr">
        <is>
          <t>Одежда</t>
        </is>
      </c>
      <c r="G89" s="5" t="n">
        <v>2</v>
      </c>
      <c r="H89" s="6" t="n">
        <v>5319</v>
      </c>
      <c r="I89" s="7">
        <f>G89*H89</f>
        <v/>
      </c>
    </row>
    <row r="90">
      <c r="A90" s="3" t="inlineStr">
        <is>
          <t>ЗК-1087</t>
        </is>
      </c>
      <c r="B90" s="4" t="n">
        <v>46280</v>
      </c>
      <c r="C90" s="3">
        <f>TEXT(B90,"MM.YYYY")</f>
        <v/>
      </c>
      <c r="D90" s="5" t="inlineStr">
        <is>
          <t>Алексей Васильев</t>
        </is>
      </c>
      <c r="E90" s="5" t="inlineStr">
        <is>
          <t>Кроссовки</t>
        </is>
      </c>
      <c r="F90" s="5" t="inlineStr">
        <is>
          <t>Обувь</t>
        </is>
      </c>
      <c r="G90" s="5" t="n">
        <v>1</v>
      </c>
      <c r="H90" s="6" t="n">
        <v>5299</v>
      </c>
      <c r="I90" s="7">
        <f>G90*H90</f>
        <v/>
      </c>
    </row>
    <row r="91">
      <c r="A91" s="3" t="inlineStr">
        <is>
          <t>ЗК-1088</t>
        </is>
      </c>
      <c r="B91" s="4" t="n">
        <v>46280</v>
      </c>
      <c r="C91" s="3">
        <f>TEXT(B91,"MM.YYYY")</f>
        <v/>
      </c>
      <c r="D91" s="5" t="inlineStr">
        <is>
          <t>Дмитрий Сидоров</t>
        </is>
      </c>
      <c r="E91" s="5" t="inlineStr">
        <is>
          <t>Кроссовки</t>
        </is>
      </c>
      <c r="F91" s="5" t="inlineStr">
        <is>
          <t>Обувь</t>
        </is>
      </c>
      <c r="G91" s="5" t="n">
        <v>1</v>
      </c>
      <c r="H91" s="6" t="n">
        <v>11349</v>
      </c>
      <c r="I91" s="7">
        <f>G91*H91</f>
        <v/>
      </c>
    </row>
    <row r="92">
      <c r="A92" s="3" t="inlineStr">
        <is>
          <t>ЗК-1089</t>
        </is>
      </c>
      <c r="B92" s="4" t="n">
        <v>46280</v>
      </c>
      <c r="C92" s="3">
        <f>TEXT(B92,"MM.YYYY")</f>
        <v/>
      </c>
      <c r="D92" s="5" t="inlineStr">
        <is>
          <t>Татьяна Соколова</t>
        </is>
      </c>
      <c r="E92" s="5" t="inlineStr">
        <is>
          <t>Джинсы прямые</t>
        </is>
      </c>
      <c r="F92" s="5" t="inlineStr">
        <is>
          <t>Одежда</t>
        </is>
      </c>
      <c r="G92" s="5" t="n">
        <v>1</v>
      </c>
      <c r="H92" s="6" t="n">
        <v>4469</v>
      </c>
      <c r="I92" s="7">
        <f>G92*H92</f>
        <v/>
      </c>
    </row>
    <row r="93">
      <c r="A93" s="3" t="inlineStr">
        <is>
          <t>ЗК-1090</t>
        </is>
      </c>
      <c r="B93" s="4" t="n">
        <v>46282</v>
      </c>
      <c r="C93" s="3">
        <f>TEXT(B93,"MM.YYYY")</f>
        <v/>
      </c>
      <c r="D93" s="5" t="inlineStr">
        <is>
          <t>Анна Петрова</t>
        </is>
      </c>
      <c r="E93" s="5" t="inlineStr">
        <is>
          <t>Свитер шерстяной</t>
        </is>
      </c>
      <c r="F93" s="5" t="inlineStr">
        <is>
          <t>Одежда</t>
        </is>
      </c>
      <c r="G93" s="5" t="n">
        <v>1</v>
      </c>
      <c r="H93" s="6" t="n">
        <v>5869</v>
      </c>
      <c r="I93" s="7">
        <f>G93*H93</f>
        <v/>
      </c>
    </row>
    <row r="94">
      <c r="A94" s="3" t="inlineStr">
        <is>
          <t>ЗК-1091</t>
        </is>
      </c>
      <c r="B94" s="4" t="n">
        <v>46282</v>
      </c>
      <c r="C94" s="3">
        <f>TEXT(B94,"MM.YYYY")</f>
        <v/>
      </c>
      <c r="D94" s="5" t="inlineStr">
        <is>
          <t>Ольга Кузнецова</t>
        </is>
      </c>
      <c r="E94" s="5" t="inlineStr">
        <is>
          <t>Шорты</t>
        </is>
      </c>
      <c r="F94" s="5" t="inlineStr">
        <is>
          <t>Одежда</t>
        </is>
      </c>
      <c r="G94" s="5" t="n">
        <v>1</v>
      </c>
      <c r="H94" s="6" t="n">
        <v>1619</v>
      </c>
      <c r="I94" s="7">
        <f>G94*H94</f>
        <v/>
      </c>
    </row>
    <row r="95">
      <c r="A95" s="3" t="inlineStr">
        <is>
          <t>ЗК-1092</t>
        </is>
      </c>
      <c r="B95" s="4" t="n">
        <v>46283</v>
      </c>
      <c r="C95" s="3">
        <f>TEXT(B95,"MM.YYYY")</f>
        <v/>
      </c>
      <c r="D95" s="5" t="inlineStr">
        <is>
          <t>Мария Соколова</t>
        </is>
      </c>
      <c r="E95" s="5" t="inlineStr">
        <is>
          <t>Футболка хлопковая</t>
        </is>
      </c>
      <c r="F95" s="5" t="inlineStr">
        <is>
          <t>Одежда</t>
        </is>
      </c>
      <c r="G95" s="5" t="n">
        <v>1</v>
      </c>
      <c r="H95" s="6" t="n">
        <v>1999</v>
      </c>
      <c r="I95" s="7">
        <f>G95*H95</f>
        <v/>
      </c>
    </row>
    <row r="96">
      <c r="A96" s="3" t="inlineStr">
        <is>
          <t>ЗК-1093</t>
        </is>
      </c>
      <c r="B96" s="4" t="n">
        <v>46284</v>
      </c>
      <c r="C96" s="3">
        <f>TEXT(B96,"MM.YYYY")</f>
        <v/>
      </c>
      <c r="D96" s="5" t="inlineStr">
        <is>
          <t>Наталья Морозова</t>
        </is>
      </c>
      <c r="E96" s="5" t="inlineStr">
        <is>
          <t>Туфли</t>
        </is>
      </c>
      <c r="F96" s="5" t="inlineStr">
        <is>
          <t>Обувь</t>
        </is>
      </c>
      <c r="G96" s="5" t="n">
        <v>1</v>
      </c>
      <c r="H96" s="6" t="n">
        <v>8529</v>
      </c>
      <c r="I96" s="7">
        <f>G96*H96</f>
        <v/>
      </c>
    </row>
    <row r="97">
      <c r="A97" s="3" t="inlineStr">
        <is>
          <t>ЗК-1094</t>
        </is>
      </c>
      <c r="B97" s="4" t="n">
        <v>46286</v>
      </c>
      <c r="C97" s="3">
        <f>TEXT(B97,"MM.YYYY")</f>
        <v/>
      </c>
      <c r="D97" s="5" t="inlineStr">
        <is>
          <t>Анна Новиков</t>
        </is>
      </c>
      <c r="E97" s="5" t="inlineStr">
        <is>
          <t>Кеды</t>
        </is>
      </c>
      <c r="F97" s="5" t="inlineStr">
        <is>
          <t>Обувь</t>
        </is>
      </c>
      <c r="G97" s="5" t="n">
        <v>3</v>
      </c>
      <c r="H97" s="6" t="n">
        <v>5889</v>
      </c>
      <c r="I97" s="7">
        <f>G97*H97</f>
        <v/>
      </c>
    </row>
    <row r="98">
      <c r="A98" s="3" t="inlineStr">
        <is>
          <t>ЗК-1095</t>
        </is>
      </c>
      <c r="B98" s="4" t="n">
        <v>46287</v>
      </c>
      <c r="C98" s="3">
        <f>TEXT(B98,"MM.YYYY")</f>
        <v/>
      </c>
      <c r="D98" s="5" t="inlineStr">
        <is>
          <t>Дмитрий Петрова</t>
        </is>
      </c>
      <c r="E98" s="5" t="inlineStr">
        <is>
          <t>Кроссовки</t>
        </is>
      </c>
      <c r="F98" s="5" t="inlineStr">
        <is>
          <t>Обувь</t>
        </is>
      </c>
      <c r="G98" s="5" t="n">
        <v>1</v>
      </c>
      <c r="H98" s="6" t="n">
        <v>9919</v>
      </c>
      <c r="I98" s="7">
        <f>G98*H98</f>
        <v/>
      </c>
    </row>
    <row r="99">
      <c r="A99" s="3" t="inlineStr">
        <is>
          <t>ЗК-1096</t>
        </is>
      </c>
      <c r="B99" s="4" t="n">
        <v>46288</v>
      </c>
      <c r="C99" s="3">
        <f>TEXT(B99,"MM.YYYY")</f>
        <v/>
      </c>
      <c r="D99" s="5" t="inlineStr">
        <is>
          <t>Алексей Сидоров</t>
        </is>
      </c>
      <c r="E99" s="5" t="inlineStr">
        <is>
          <t>Худи оверсайз</t>
        </is>
      </c>
      <c r="F99" s="5" t="inlineStr">
        <is>
          <t>Одежда</t>
        </is>
      </c>
      <c r="G99" s="5" t="n">
        <v>1</v>
      </c>
      <c r="H99" s="6" t="n">
        <v>3979</v>
      </c>
      <c r="I99" s="7">
        <f>G99*H99</f>
        <v/>
      </c>
    </row>
    <row r="100">
      <c r="A100" s="3" t="inlineStr">
        <is>
          <t>ЗК-1097</t>
        </is>
      </c>
      <c r="B100" s="4" t="n">
        <v>46288</v>
      </c>
      <c r="C100" s="3">
        <f>TEXT(B100,"MM.YYYY")</f>
        <v/>
      </c>
      <c r="D100" s="5" t="inlineStr">
        <is>
          <t>Алексей Волков</t>
        </is>
      </c>
      <c r="E100" s="5" t="inlineStr">
        <is>
          <t>Футболка хлопковая</t>
        </is>
      </c>
      <c r="F100" s="5" t="inlineStr">
        <is>
          <t>Одежда</t>
        </is>
      </c>
      <c r="G100" s="5" t="n">
        <v>1</v>
      </c>
      <c r="H100" s="6" t="n">
        <v>2389</v>
      </c>
      <c r="I100" s="7">
        <f>G100*H100</f>
        <v/>
      </c>
    </row>
    <row r="101">
      <c r="A101" s="3" t="inlineStr">
        <is>
          <t>ЗК-1098</t>
        </is>
      </c>
      <c r="B101" s="4" t="n">
        <v>46288</v>
      </c>
      <c r="C101" s="3">
        <f>TEXT(B101,"MM.YYYY")</f>
        <v/>
      </c>
      <c r="D101" s="5" t="inlineStr">
        <is>
          <t>Наталья Новиков</t>
        </is>
      </c>
      <c r="E101" s="5" t="inlineStr">
        <is>
          <t>Футболка хлопковая</t>
        </is>
      </c>
      <c r="F101" s="5" t="inlineStr">
        <is>
          <t>Одежда</t>
        </is>
      </c>
      <c r="G101" s="5" t="n">
        <v>1</v>
      </c>
      <c r="H101" s="6" t="n">
        <v>2729</v>
      </c>
      <c r="I101" s="7">
        <f>G101*H101</f>
        <v/>
      </c>
    </row>
    <row r="102">
      <c r="A102" s="3" t="inlineStr">
        <is>
          <t>ЗК-1099</t>
        </is>
      </c>
      <c r="B102" s="4" t="n">
        <v>46289</v>
      </c>
      <c r="C102" s="3">
        <f>TEXT(B102,"MM.YYYY")</f>
        <v/>
      </c>
      <c r="D102" s="5" t="inlineStr">
        <is>
          <t>Павел Попова</t>
        </is>
      </c>
      <c r="E102" s="5" t="inlineStr">
        <is>
          <t>Футболка хлопковая</t>
        </is>
      </c>
      <c r="F102" s="5" t="inlineStr">
        <is>
          <t>Одежда</t>
        </is>
      </c>
      <c r="G102" s="5" t="n">
        <v>1</v>
      </c>
      <c r="H102" s="6" t="n">
        <v>2399</v>
      </c>
      <c r="I102" s="7">
        <f>G102*H102</f>
        <v/>
      </c>
    </row>
    <row r="103">
      <c r="A103" s="3" t="inlineStr">
        <is>
          <t>ЗК-1100</t>
        </is>
      </c>
      <c r="B103" s="4" t="n">
        <v>46289</v>
      </c>
      <c r="C103" s="3">
        <f>TEXT(B103,"MM.YYYY")</f>
        <v/>
      </c>
      <c r="D103" s="5" t="inlineStr">
        <is>
          <t>Алексей Фёдорова</t>
        </is>
      </c>
      <c r="E103" s="5" t="inlineStr">
        <is>
          <t>Кроссовки</t>
        </is>
      </c>
      <c r="F103" s="5" t="inlineStr">
        <is>
          <t>Обувь</t>
        </is>
      </c>
      <c r="G103" s="5" t="n">
        <v>1</v>
      </c>
      <c r="H103" s="6" t="n">
        <v>5789</v>
      </c>
      <c r="I103" s="7">
        <f>G103*H103</f>
        <v/>
      </c>
    </row>
    <row r="104">
      <c r="A104" s="3" t="inlineStr">
        <is>
          <t>ЗК-1101</t>
        </is>
      </c>
      <c r="B104" s="4" t="n">
        <v>46291</v>
      </c>
      <c r="C104" s="3">
        <f>TEXT(B104,"MM.YYYY")</f>
        <v/>
      </c>
      <c r="D104" s="5" t="inlineStr">
        <is>
          <t>Николай Новиков</t>
        </is>
      </c>
      <c r="E104" s="5" t="inlineStr">
        <is>
          <t>Кроссовки</t>
        </is>
      </c>
      <c r="F104" s="5" t="inlineStr">
        <is>
          <t>Обувь</t>
        </is>
      </c>
      <c r="G104" s="5" t="n">
        <v>2</v>
      </c>
      <c r="H104" s="6" t="n">
        <v>5159</v>
      </c>
      <c r="I104" s="7">
        <f>G104*H104</f>
        <v/>
      </c>
    </row>
    <row r="105">
      <c r="A105" s="3" t="inlineStr">
        <is>
          <t>ЗК-1102</t>
        </is>
      </c>
      <c r="B105" s="4" t="n">
        <v>46291</v>
      </c>
      <c r="C105" s="3">
        <f>TEXT(B105,"MM.YYYY")</f>
        <v/>
      </c>
      <c r="D105" s="5" t="inlineStr">
        <is>
          <t>Ольга Новиков</t>
        </is>
      </c>
      <c r="E105" s="5" t="inlineStr">
        <is>
          <t>Джинсы прямые</t>
        </is>
      </c>
      <c r="F105" s="5" t="inlineStr">
        <is>
          <t>Одежда</t>
        </is>
      </c>
      <c r="G105" s="5" t="n">
        <v>1</v>
      </c>
      <c r="H105" s="6" t="n">
        <v>5939</v>
      </c>
      <c r="I105" s="7">
        <f>G105*H105</f>
        <v/>
      </c>
    </row>
    <row r="106">
      <c r="A106" s="3" t="inlineStr">
        <is>
          <t>ЗК-1103</t>
        </is>
      </c>
      <c r="B106" s="4" t="n">
        <v>46291</v>
      </c>
      <c r="C106" s="3">
        <f>TEXT(B106,"MM.YYYY")</f>
        <v/>
      </c>
      <c r="D106" s="5" t="inlineStr">
        <is>
          <t>Алексей Сидоров</t>
        </is>
      </c>
      <c r="E106" s="5" t="inlineStr">
        <is>
          <t>Куртка демисезонная</t>
        </is>
      </c>
      <c r="F106" s="5" t="inlineStr">
        <is>
          <t>Одежда</t>
        </is>
      </c>
      <c r="G106" s="5" t="n">
        <v>1</v>
      </c>
      <c r="H106" s="6" t="n">
        <v>10809</v>
      </c>
      <c r="I106" s="7">
        <f>G106*H106</f>
        <v/>
      </c>
    </row>
    <row r="107">
      <c r="A107" s="3" t="inlineStr">
        <is>
          <t>ЗК-1104</t>
        </is>
      </c>
      <c r="B107" s="4" t="n">
        <v>46291</v>
      </c>
      <c r="C107" s="3">
        <f>TEXT(B107,"MM.YYYY")</f>
        <v/>
      </c>
      <c r="D107" s="5" t="inlineStr">
        <is>
          <t>Николай Морозова</t>
        </is>
      </c>
      <c r="E107" s="5" t="inlineStr">
        <is>
          <t>Ботинки кожаные</t>
        </is>
      </c>
      <c r="F107" s="5" t="inlineStr">
        <is>
          <t>Обувь</t>
        </is>
      </c>
      <c r="G107" s="5" t="n">
        <v>1</v>
      </c>
      <c r="H107" s="6" t="n">
        <v>8519</v>
      </c>
      <c r="I107" s="7">
        <f>G107*H107</f>
        <v/>
      </c>
    </row>
    <row r="108">
      <c r="A108" s="3" t="inlineStr">
        <is>
          <t>ЗК-1105</t>
        </is>
      </c>
      <c r="B108" s="4" t="n">
        <v>46291</v>
      </c>
      <c r="C108" s="3">
        <f>TEXT(B108,"MM.YYYY")</f>
        <v/>
      </c>
      <c r="D108" s="5" t="inlineStr">
        <is>
          <t>Алексей Смирнов</t>
        </is>
      </c>
      <c r="E108" s="5" t="inlineStr">
        <is>
          <t>Футболка хлопковая</t>
        </is>
      </c>
      <c r="F108" s="5" t="inlineStr">
        <is>
          <t>Одежда</t>
        </is>
      </c>
      <c r="G108" s="5" t="n">
        <v>1</v>
      </c>
      <c r="H108" s="6" t="n">
        <v>2469</v>
      </c>
      <c r="I108" s="7">
        <f>G108*H108</f>
        <v/>
      </c>
    </row>
    <row r="109">
      <c r="A109" s="3" t="inlineStr">
        <is>
          <t>ЗК-1106</t>
        </is>
      </c>
      <c r="B109" s="4" t="n">
        <v>46292</v>
      </c>
      <c r="C109" s="3">
        <f>TEXT(B109,"MM.YYYY")</f>
        <v/>
      </c>
      <c r="D109" s="5" t="inlineStr">
        <is>
          <t>Дмитрий Волков</t>
        </is>
      </c>
      <c r="E109" s="5" t="inlineStr">
        <is>
          <t>Сандалии</t>
        </is>
      </c>
      <c r="F109" s="5" t="inlineStr">
        <is>
          <t>Обувь</t>
        </is>
      </c>
      <c r="G109" s="5" t="n">
        <v>1</v>
      </c>
      <c r="H109" s="6" t="n">
        <v>4589</v>
      </c>
      <c r="I109" s="7">
        <f>G109*H109</f>
        <v/>
      </c>
    </row>
    <row r="110">
      <c r="A110" s="3" t="inlineStr">
        <is>
          <t>ЗК-1107</t>
        </is>
      </c>
      <c r="B110" s="4" t="n">
        <v>46292</v>
      </c>
      <c r="C110" s="3">
        <f>TEXT(B110,"MM.YYYY")</f>
        <v/>
      </c>
      <c r="D110" s="5" t="inlineStr">
        <is>
          <t>Елена Новиков</t>
        </is>
      </c>
      <c r="E110" s="5" t="inlineStr">
        <is>
          <t>Рубашка льняная</t>
        </is>
      </c>
      <c r="F110" s="5" t="inlineStr">
        <is>
          <t>Одежда</t>
        </is>
      </c>
      <c r="G110" s="5" t="n">
        <v>1</v>
      </c>
      <c r="H110" s="6" t="n">
        <v>3569</v>
      </c>
      <c r="I110" s="7">
        <f>G110*H110</f>
        <v/>
      </c>
    </row>
    <row r="111">
      <c r="A111" s="3" t="inlineStr">
        <is>
          <t>ЗК-1108</t>
        </is>
      </c>
      <c r="B111" s="4" t="n">
        <v>46293</v>
      </c>
      <c r="C111" s="3">
        <f>TEXT(B111,"MM.YYYY")</f>
        <v/>
      </c>
      <c r="D111" s="5" t="inlineStr">
        <is>
          <t>Алексей Волков</t>
        </is>
      </c>
      <c r="E111" s="5" t="inlineStr">
        <is>
          <t>Кроссовки</t>
        </is>
      </c>
      <c r="F111" s="5" t="inlineStr">
        <is>
          <t>Обувь</t>
        </is>
      </c>
      <c r="G111" s="5" t="n">
        <v>1</v>
      </c>
      <c r="H111" s="6" t="n">
        <v>9216</v>
      </c>
      <c r="I111" s="7">
        <f>G111*H111</f>
        <v/>
      </c>
    </row>
    <row r="112">
      <c r="A112" s="8" t="inlineStr">
        <is>
          <t>ИТОГО</t>
        </is>
      </c>
      <c r="B112" s="9" t="n"/>
      <c r="C112" s="9" t="n"/>
      <c r="D112" s="9" t="n"/>
      <c r="E112" s="9" t="n"/>
      <c r="F112" s="9" t="n"/>
      <c r="G112" s="8">
        <f>SUM(G4:G111)</f>
        <v/>
      </c>
      <c r="H112" s="9" t="n"/>
      <c r="I112" s="10">
        <f>SUM(I4:I111)</f>
        <v/>
      </c>
    </row>
    <row r="114">
      <c r="A114" s="11" t="inlineStr">
        <is>
          <t>Примечание: все заказы, клиенты и цены — сгенерированные тестовые данные (по просьбе пользователя), не реальный учёт. Синий шрифт — вводимые значения, чёрный — формулы.</t>
        </is>
      </c>
    </row>
  </sheetData>
  <autoFilter ref="A3:I1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4" customWidth="1" min="3" max="3"/>
  </cols>
  <sheetData>
    <row r="1">
      <c r="A1" s="1" t="inlineStr">
        <is>
          <t>Сводка по месяцам и категориям (тестовые данные)</t>
        </is>
      </c>
    </row>
    <row r="3">
      <c r="A3" s="12" t="inlineStr">
        <is>
          <t>Период</t>
        </is>
      </c>
      <c r="B3" s="12" t="inlineStr">
        <is>
          <t>Заказов</t>
        </is>
      </c>
      <c r="C3" s="12" t="inlineStr">
        <is>
          <t>Сумма, ₽</t>
        </is>
      </c>
    </row>
    <row r="4">
      <c r="A4" s="13" t="inlineStr">
        <is>
          <t>Август 2026</t>
        </is>
      </c>
      <c r="B4" s="13">
        <f>COUNTIF(Заказы!$C$4:$C$111,"08.2026")</f>
        <v/>
      </c>
      <c r="C4" s="14">
        <f>SUMIFS(Заказы!$I$4:$I$111,Заказы!$C$4:$C$111,"08.2026")</f>
        <v/>
      </c>
    </row>
    <row r="5">
      <c r="A5" s="13" t="inlineStr">
        <is>
          <t>Сентябрь 2026 (по 28.09)</t>
        </is>
      </c>
      <c r="B5" s="13">
        <f>COUNTIF(Заказы!$C$4:$C$111,"09.2026")</f>
        <v/>
      </c>
      <c r="C5" s="14">
        <f>SUMIFS(Заказы!$I$4:$I$111,Заказы!$C$4:$C$111,"09.2026")</f>
        <v/>
      </c>
    </row>
    <row r="6">
      <c r="A6" s="15" t="inlineStr">
        <is>
          <t>Итого</t>
        </is>
      </c>
      <c r="B6" s="15">
        <f>SUM(B4:B5)</f>
        <v/>
      </c>
      <c r="C6" s="16">
        <f>SUM(C4:C5)</f>
        <v/>
      </c>
    </row>
    <row r="7">
      <c r="A7" s="13" t="n"/>
      <c r="B7" s="13" t="n"/>
      <c r="C7" s="14" t="n"/>
    </row>
    <row r="8">
      <c r="A8" s="17" t="inlineStr">
        <is>
          <t>Категория</t>
        </is>
      </c>
      <c r="B8" s="17" t="inlineStr">
        <is>
          <t>Заказов</t>
        </is>
      </c>
      <c r="C8" s="18" t="inlineStr">
        <is>
          <t>Сумма, ₽</t>
        </is>
      </c>
    </row>
    <row r="9">
      <c r="A9" s="13" t="inlineStr">
        <is>
          <t>Одежда</t>
        </is>
      </c>
      <c r="B9" s="13">
        <f>COUNTIF(Заказы!$F$4:$F$111,A9)</f>
        <v/>
      </c>
      <c r="C9" s="14">
        <f>SUMIFS(Заказы!$I$4:$I$111,Заказы!$F$4:$F$111,A9)</f>
        <v/>
      </c>
    </row>
    <row r="10">
      <c r="A10" s="13" t="inlineStr">
        <is>
          <t>Обувь</t>
        </is>
      </c>
      <c r="B10" s="13">
        <f>COUNTIF(Заказы!$F$4:$F$111,A10)</f>
        <v/>
      </c>
      <c r="C10" s="14">
        <f>SUMIFS(Заказы!$I$4:$I$111,Заказы!$F$4:$F$111,A10)</f>
        <v/>
      </c>
    </row>
    <row r="11">
      <c r="A11" s="15" t="inlineStr">
        <is>
          <t>Итого</t>
        </is>
      </c>
      <c r="B11" s="15">
        <f>SUM(B9:B10)</f>
        <v/>
      </c>
      <c r="C11" s="16">
        <f>SUM(C9:C10)</f>
        <v/>
      </c>
    </row>
    <row r="12">
      <c r="A12" s="13" t="n"/>
      <c r="B12" s="13" t="n"/>
      <c r="C12" s="14" t="n"/>
    </row>
    <row r="13">
      <c r="A13" s="13" t="inlineStr">
        <is>
          <t>Целевая сумма (задана пользователем)</t>
        </is>
      </c>
      <c r="B13" s="13" t="n"/>
      <c r="C13" s="19" t="n">
        <v>756323</v>
      </c>
    </row>
    <row r="14">
      <c r="A14" s="13" t="inlineStr">
        <is>
          <t>Разница с итогом</t>
        </is>
      </c>
      <c r="B14" s="13" t="n"/>
      <c r="C14" s="14">
        <f>C6-C13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2026-09-29T16:47:56Z</dcterms:created>
  <dcterms:modified xsi:type="dcterms:W3CDTF">2026-09-29T16:47:56Z</dcterms:modified>
</cp:coreProperties>
</file>